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ário" sheetId="1" state="visible" r:id="rId1"/>
    <sheet name="Resumo" sheetId="2" state="visible" r:id="rId2"/>
  </sheets>
  <definedNames>
    <definedName name="_xlnm._FilterDatabase" localSheetId="0" hidden="1">'Inventário'!$A$2:$L$89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sz val="14"/>
    </font>
    <font>
      <name val="Arial"/>
      <color rgb="006E737C"/>
      <sz val="10"/>
    </font>
    <font>
      <name val="Arial"/>
      <i val="1"/>
      <color rgb="006E737C"/>
      <sz val="9"/>
    </font>
  </fonts>
  <fills count="5">
    <fill>
      <patternFill/>
    </fill>
    <fill>
      <patternFill patternType="gray125"/>
    </fill>
    <fill>
      <patternFill patternType="solid">
        <fgColor rgb="0016171A"/>
      </patternFill>
    </fill>
    <fill>
      <patternFill patternType="solid">
        <fgColor rgb="00FCFBF9"/>
      </patternFill>
    </fill>
    <fill>
      <patternFill patternType="solid">
        <fgColor rgb="00F0EBE3"/>
      </patternFill>
    </fill>
  </fills>
  <borders count="2">
    <border>
      <left/>
      <right/>
      <top/>
      <bottom/>
      <diagonal/>
    </border>
    <border>
      <bottom style="thin">
        <color rgb="00DED8C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0" fontId="3" fillId="4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/>
    </xf>
    <xf numFmtId="0" fontId="4" fillId="0" borderId="0" pivotButton="0" quotePrefix="0" xfId="0"/>
    <xf numFmtId="0" fontId="5" fillId="0" borderId="0" applyAlignment="1" pivotButton="0" quotePrefix="0" xfId="0">
      <alignment wrapText="1"/>
    </xf>
    <xf numFmtId="0" fontId="1" fillId="2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9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52" customWidth="1" min="3" max="3"/>
    <col width="54" customWidth="1" min="4" max="4"/>
    <col width="5" customWidth="1" min="5" max="5"/>
    <col width="13" customWidth="1" min="6" max="6"/>
    <col width="74" customWidth="1" min="7" max="7"/>
    <col width="5" customWidth="1" min="8" max="8"/>
    <col width="13" customWidth="1" min="9" max="9"/>
    <col width="52" customWidth="1" min="10" max="10"/>
    <col width="9" customWidth="1" min="11" max="11"/>
    <col width="11" customWidth="1" min="12" max="12"/>
  </cols>
  <sheetData>
    <row r="1" ht="30" customHeight="1">
      <c r="A1" s="16" t="inlineStr">
        <is>
          <t>As colunas “Status title” e “Status desc.” são fórmula: preenchem-se ao abrir no Excel ou no Google Sheets, e se atualizam se você editar o texto ao lado.</t>
        </is>
      </c>
    </row>
    <row r="2">
      <c r="A2" s="1" t="inlineStr">
        <is>
          <t>Grupo</t>
        </is>
      </c>
      <c r="B2" s="1" t="inlineStr">
        <is>
          <t>Cluster</t>
        </is>
      </c>
      <c r="C2" s="1" t="inlineStr">
        <is>
          <t>URL</t>
        </is>
      </c>
      <c r="D2" s="1" t="inlineStr">
        <is>
          <t>Meta title (renderizado)</t>
        </is>
      </c>
      <c r="E2" s="1" t="inlineStr">
        <is>
          <t>Nº</t>
        </is>
      </c>
      <c r="F2" s="1" t="inlineStr">
        <is>
          <t>Status title</t>
        </is>
      </c>
      <c r="G2" s="1" t="inlineStr">
        <is>
          <t>Meta description</t>
        </is>
      </c>
      <c r="H2" s="1" t="inlineStr">
        <is>
          <t>Nº</t>
        </is>
      </c>
      <c r="I2" s="1" t="inlineStr">
        <is>
          <t>Status desc.</t>
        </is>
      </c>
      <c r="J2" s="1" t="inlineStr">
        <is>
          <t>H1</t>
        </is>
      </c>
      <c r="K2" s="1" t="inlineStr">
        <is>
          <t>Palavras</t>
        </is>
      </c>
      <c r="L2" s="1" t="inlineStr">
        <is>
          <t>Publicado</t>
        </is>
      </c>
    </row>
    <row r="3">
      <c r="A3" s="2" t="inlineStr">
        <is>
          <t>Conteúdo — artigo</t>
        </is>
      </c>
      <c r="B3" s="3" t="inlineStr">
        <is>
          <t>Calçados</t>
        </is>
      </c>
      <c r="C3" s="4" t="inlineStr">
        <is>
          <t>https://towerepis.com.br/conhecimento/biqueira-de-composite-ou-de-aco-qual-escolher/</t>
        </is>
      </c>
      <c r="D3" s="4" t="inlineStr">
        <is>
          <t>Biqueira de composite ou de aço: qual escolher · Tower EPI's</t>
        </is>
      </c>
      <c r="E3" s="5" t="n">
        <v>60</v>
      </c>
      <c r="F3" s="5">
        <f>IF(E2=0,"sem title",IF(E2&gt;60,"longo",IF(E2&lt;30,"curto","ok")))</f>
        <v/>
      </c>
      <c r="G3" s="4" t="inlineStr">
        <is>
          <t>Composite e aço protegem os dedos do mesmo jeito pela norma. A escolha é pela atividade: risco elétrico, detector de metal, frio, peso na jornada e custo.</t>
        </is>
      </c>
      <c r="H3" s="5" t="n">
        <v>154</v>
      </c>
      <c r="I3" s="5">
        <f>IF(H2=0,"sem description",IF(H2&gt;160,"longa",IF(H2&lt;120,"curta","ok")))</f>
        <v/>
      </c>
      <c r="J3" s="4" t="inlineStr">
        <is>
          <t>Biqueira de composite ou de aço: qual escolher?</t>
        </is>
      </c>
      <c r="K3" s="5" t="n">
        <v>1189</v>
      </c>
      <c r="L3" s="3" t="inlineStr">
        <is>
          <t>2026-09-04</t>
        </is>
      </c>
    </row>
    <row r="4">
      <c r="A4" s="2" t="inlineStr">
        <is>
          <t>Conteúdo — artigo</t>
        </is>
      </c>
      <c r="B4" s="3" t="inlineStr">
        <is>
          <t>Calçados</t>
        </is>
      </c>
      <c r="C4" s="4" t="inlineStr">
        <is>
          <t>https://towerepis.com.br/conhecimento/bota-de-pvc-quando-e-a-resposta-certa/</t>
        </is>
      </c>
      <c r="D4" s="4" t="inlineStr">
        <is>
          <t>Bota de PVC: quando ela resolve · Tower EPI's</t>
        </is>
      </c>
      <c r="E4" s="5" t="n">
        <v>45</v>
      </c>
      <c r="F4" s="5">
        <f>IF(E3=0,"sem title",IF(E3&gt;60,"longo",IF(E3&lt;30,"curto","ok")))</f>
        <v/>
      </c>
      <c r="G4" s="4" t="inlineStr">
        <is>
          <t>Quando a bota de PVC é a escolha certa, o que ela cobra em troca e como decidir entre ela e o calçado fechado impermeável — com o que conferir antes de comprar.</t>
        </is>
      </c>
      <c r="H4" s="5" t="n">
        <v>160</v>
      </c>
      <c r="I4" s="5">
        <f>IF(H3=0,"sem description",IF(H3&gt;160,"longa",IF(H3&lt;120,"curta","ok")))</f>
        <v/>
      </c>
      <c r="J4" s="4" t="inlineStr">
        <is>
          <t>Bota de PVC: quando ela é a resposta certa</t>
        </is>
      </c>
      <c r="K4" s="5" t="n">
        <v>1166</v>
      </c>
      <c r="L4" s="3" t="inlineStr">
        <is>
          <t>2026-09-11</t>
        </is>
      </c>
    </row>
    <row r="5">
      <c r="A5" s="2" t="inlineStr">
        <is>
          <t>Conteúdo — artigo</t>
        </is>
      </c>
      <c r="B5" s="3" t="inlineStr">
        <is>
          <t>Calçados</t>
        </is>
      </c>
      <c r="C5" s="4" t="inlineStr">
        <is>
          <t>https://towerepis.com.br/conhecimento/botina-bota-ou-sapato-de-seguranca/</t>
        </is>
      </c>
      <c r="D5" s="4" t="inlineStr">
        <is>
          <t>Botina, bota ou sapato de segurança · Tower EPI's</t>
        </is>
      </c>
      <c r="E5" s="5" t="n">
        <v>49</v>
      </c>
      <c r="F5" s="5">
        <f>IF(E4=0,"sem title",IF(E4&gt;60,"longo",IF(E4&lt;30,"curto","ok")))</f>
        <v/>
      </c>
      <c r="G5" s="4" t="inlineStr">
        <is>
          <t>O que muda entre sapato, botina e bota de cano alto: barreira de entrada, apoio do tornozelo e conforto. A pergunta que resolve, e o erro do cano mais alto.</t>
        </is>
      </c>
      <c r="H5" s="5" t="n">
        <v>156</v>
      </c>
      <c r="I5" s="5">
        <f>IF(H4=0,"sem description",IF(H4&gt;160,"longa",IF(H4&lt;120,"curta","ok")))</f>
        <v/>
      </c>
      <c r="J5" s="4" t="inlineStr">
        <is>
          <t>Botina, bota ou sapato de segurança: quando cada um</t>
        </is>
      </c>
      <c r="K5" s="5" t="n">
        <v>1083</v>
      </c>
      <c r="L5" s="3" t="inlineStr">
        <is>
          <t>2026-09-20</t>
        </is>
      </c>
    </row>
    <row r="6">
      <c r="A6" s="2" t="inlineStr">
        <is>
          <t>Conteúdo — artigo</t>
        </is>
      </c>
      <c r="B6" s="3" t="inlineStr">
        <is>
          <t>Calçados</t>
        </is>
      </c>
      <c r="C6" s="4" t="inlineStr">
        <is>
          <t>https://towerepis.com.br/conhecimento/botina-escorrega-o-que-fazer-antes-de-trocar/</t>
        </is>
      </c>
      <c r="D6" s="4" t="inlineStr">
        <is>
          <t>Botina escorregando: antes de trocar · Tower EPI's</t>
        </is>
      </c>
      <c r="E6" s="5" t="n">
        <v>50</v>
      </c>
      <c r="F6" s="5">
        <f>IF(E5=0,"sem title",IF(E5&gt;60,"longo",IF(E5&lt;30,"curto","ok")))</f>
        <v/>
      </c>
      <c r="G6" s="4" t="inlineStr">
        <is>
          <t>A ordem de investigação quando o calçado passa a escorregar: o que mudou, limpar a sola, o produto do piso, e só então o calçado. Com o que não resolve.</t>
        </is>
      </c>
      <c r="H6" s="5" t="n">
        <v>152</v>
      </c>
      <c r="I6" s="5">
        <f>IF(H5=0,"sem description",IF(H5&gt;160,"longa",IF(H5&lt;120,"curta","ok")))</f>
        <v/>
      </c>
      <c r="J6" s="4" t="inlineStr">
        <is>
          <t>Botina escorrega: o que fazer antes de trocar</t>
        </is>
      </c>
      <c r="K6" s="5" t="n">
        <v>1060</v>
      </c>
      <c r="L6" s="3" t="inlineStr">
        <is>
          <t>2026-09-04</t>
        </is>
      </c>
    </row>
    <row r="7">
      <c r="A7" s="2" t="inlineStr">
        <is>
          <t>Conteúdo — artigo</t>
        </is>
      </c>
      <c r="B7" s="3" t="inlineStr">
        <is>
          <t>Calçados</t>
        </is>
      </c>
      <c r="C7" s="4" t="inlineStr">
        <is>
          <t>https://towerepis.com.br/conhecimento/botina-que-machuca-calcado-ou-numeracao/</t>
        </is>
      </c>
      <c r="D7" s="4" t="inlineStr">
        <is>
          <t>Botina que machuca: o que fazer antes de trocar · Tower EPI's</t>
        </is>
      </c>
      <c r="E7" s="5" t="n">
        <v>61</v>
      </c>
      <c r="F7" s="5">
        <f>IF(E6=0,"sem title",IF(E6&gt;60,"longo",IF(E6&lt;30,"curto","ok")))</f>
        <v/>
      </c>
      <c r="G7" s="4" t="inlineStr">
        <is>
          <t>Por que a biqueira não amacia, como saber se o problema é a numeração ou a forma do calçado, e quando insistir só piora. Sem truque caseiro.</t>
        </is>
      </c>
      <c r="H7" s="5" t="n">
        <v>140</v>
      </c>
      <c r="I7" s="5">
        <f>IF(H6=0,"sem description",IF(H6&gt;160,"longa",IF(H6&lt;120,"curta","ok")))</f>
        <v/>
      </c>
      <c r="J7" s="4" t="inlineStr">
        <is>
          <t>Botina que machuca: é o calçado ou é a numeração?</t>
        </is>
      </c>
      <c r="K7" s="5" t="n">
        <v>948</v>
      </c>
      <c r="L7" s="3" t="inlineStr">
        <is>
          <t>2026-09-03</t>
        </is>
      </c>
    </row>
    <row r="8">
      <c r="A8" s="2" t="inlineStr">
        <is>
          <t>Conteúdo — artigo</t>
        </is>
      </c>
      <c r="B8" s="3" t="inlineStr">
        <is>
          <t>Normas</t>
        </is>
      </c>
      <c r="C8" s="4" t="inlineStr">
        <is>
          <t>https://towerepis.com.br/conhecimento/ca-vencido-o-epi-pode-continuar-em-uso/</t>
        </is>
      </c>
      <c r="D8" s="4" t="inlineStr">
        <is>
          <t>CA vencido: pode continuar usando? · Tower EPI's</t>
        </is>
      </c>
      <c r="E8" s="5" t="n">
        <v>48</v>
      </c>
      <c r="F8" s="5">
        <f>IF(E7=0,"sem title",IF(E7&gt;60,"longo",IF(E7&lt;30,"curto","ok")))</f>
        <v/>
      </c>
      <c r="G8" s="4" t="inlineStr">
        <is>
          <t>O que o vencimento do CA significa na compra, na prateleira e no par que já está no pé de alguém. Com a consulta oficial e o que fazer em cada situação.</t>
        </is>
      </c>
      <c r="H8" s="5" t="n">
        <v>152</v>
      </c>
      <c r="I8" s="5">
        <f>IF(H7=0,"sem description",IF(H7&gt;160,"longa",IF(H7&lt;120,"curta","ok")))</f>
        <v/>
      </c>
      <c r="J8" s="4" t="inlineStr">
        <is>
          <t>CA vencido: o EPI pode continuar em uso?</t>
        </is>
      </c>
      <c r="K8" s="5" t="n">
        <v>1192</v>
      </c>
      <c r="L8" s="3" t="inlineStr">
        <is>
          <t>2026-09-04</t>
        </is>
      </c>
    </row>
    <row r="9">
      <c r="A9" s="2" t="inlineStr">
        <is>
          <t>Conteúdo — artigo</t>
        </is>
      </c>
      <c r="B9" s="3" t="inlineStr">
        <is>
          <t>Calçados</t>
        </is>
      </c>
      <c r="C9" s="4" t="inlineStr">
        <is>
          <t>https://towerepis.com.br/conhecimento/calcado-ocupacional-ou-de-seguranca/</t>
        </is>
      </c>
      <c r="D9" s="4" t="inlineStr">
        <is>
          <t>NBR ISO 20345 e 20347: o que muda no calçado · Tower EPI's</t>
        </is>
      </c>
      <c r="E9" s="5" t="n">
        <v>58</v>
      </c>
      <c r="F9" s="5">
        <f>IF(E8=0,"sem title",IF(E8&gt;60,"longo",IF(E8&lt;30,"curto","ok")))</f>
        <v/>
      </c>
      <c r="G9" s="4" t="inlineStr">
        <is>
          <t>As duas normas do calçado profissional, o que cada uma exige da biqueira, e a pergunta que resolve a dúvida na maioria dos casos.</t>
        </is>
      </c>
      <c r="H9" s="5" t="n">
        <v>129</v>
      </c>
      <c r="I9" s="5">
        <f>IF(H8=0,"sem description",IF(H8&gt;160,"longa",IF(H8&lt;120,"curta","ok")))</f>
        <v/>
      </c>
      <c r="J9" s="4" t="inlineStr">
        <is>
          <t>NBR ISO 20345 e 20347: o que muda no calçado profissional</t>
        </is>
      </c>
      <c r="K9" s="5" t="n">
        <v>872</v>
      </c>
      <c r="L9" s="3" t="inlineStr">
        <is>
          <t>2026-08-30</t>
        </is>
      </c>
    </row>
    <row r="10">
      <c r="A10" s="2" t="inlineStr">
        <is>
          <t>Conteúdo — artigo</t>
        </is>
      </c>
      <c r="B10" s="3" t="inlineStr">
        <is>
          <t>Calçados</t>
        </is>
      </c>
      <c r="C10" s="4" t="inlineStr">
        <is>
          <t>https://towerepis.com.br/conhecimento/calcado-para-cozinha-como-escolher/</t>
        </is>
      </c>
      <c r="D10" s="4" t="inlineStr">
        <is>
          <t>Qual o melhor calçado para cozinha? · Tower EPI's</t>
        </is>
      </c>
      <c r="E10" s="5" t="n">
        <v>49</v>
      </c>
      <c r="F10" s="5">
        <f>IF(E9=0,"sem title",IF(E9&gt;60,"longo",IF(E9&lt;30,"curto","ok")))</f>
        <v/>
      </c>
      <c r="G10" s="4" t="inlineStr">
        <is>
          <t>Piso molhado, gordura e horas em pé mudam o critério. O que observar no solado e na cobertura, e quando a biqueira entra — revisado por técnico de segurança.</t>
        </is>
      </c>
      <c r="H10" s="5" t="n">
        <v>157</v>
      </c>
      <c r="I10" s="5">
        <f>IF(H9=0,"sem description",IF(H9&gt;160,"longa",IF(H9&lt;120,"curta","ok")))</f>
        <v/>
      </c>
      <c r="J10" s="4" t="inlineStr">
        <is>
          <t>Qual o melhor calçado para trabalhar em cozinha?</t>
        </is>
      </c>
      <c r="K10" s="5" t="n">
        <v>923</v>
      </c>
      <c r="L10" s="3" t="inlineStr">
        <is>
          <t>2026-08-30</t>
        </is>
      </c>
    </row>
    <row r="11">
      <c r="A11" s="2" t="inlineStr">
        <is>
          <t>Conteúdo — artigo</t>
        </is>
      </c>
      <c r="B11" s="3" t="inlineStr">
        <is>
          <t>Calçados</t>
        </is>
      </c>
      <c r="C11" s="4" t="inlineStr">
        <is>
          <t>https://towerepis.com.br/conhecimento/calcado-para-quem-trabalha-em-pe-o-dia-todo/</t>
        </is>
      </c>
      <c r="D11" s="4" t="inlineStr">
        <is>
          <t>Calçado para trabalhar em pé o dia todo · Tower EPI's</t>
        </is>
      </c>
      <c r="E11" s="5" t="n">
        <v>53</v>
      </c>
      <c r="F11" s="5">
        <f>IF(E10=0,"sem title",IF(E10&gt;60,"longo",IF(E10&lt;30,"curto","ok")))</f>
        <v/>
      </c>
      <c r="G11" s="4" t="inlineStr">
        <is>
          <t>O que decide o conforto de quem passa o turno em pé: peso do par, amortecimento e numeração, nessa ordem. E o que ajuda sem ser o calçado.</t>
        </is>
      </c>
      <c r="H11" s="5" t="n">
        <v>138</v>
      </c>
      <c r="I11" s="5">
        <f>IF(H10=0,"sem description",IF(H10&gt;160,"longa",IF(H10&lt;120,"curta","ok")))</f>
        <v/>
      </c>
      <c r="J11" s="4" t="inlineStr">
        <is>
          <t>Calçado para quem trabalha em pé o dia todo</t>
        </is>
      </c>
      <c r="K11" s="5" t="n">
        <v>1066</v>
      </c>
      <c r="L11" s="3" t="inlineStr">
        <is>
          <t>2026-09-12</t>
        </is>
      </c>
    </row>
    <row r="12">
      <c r="A12" s="2" t="inlineStr">
        <is>
          <t>Conteúdo — artigo</t>
        </is>
      </c>
      <c r="B12" s="3" t="inlineStr">
        <is>
          <t>Compra</t>
        </is>
      </c>
      <c r="C12" s="4" t="inlineStr">
        <is>
          <t>https://towerepis.com.br/conhecimento/como-escolher-fornecedor-de-epi/</t>
        </is>
      </c>
      <c r="D12" s="4" t="inlineStr">
        <is>
          <t>Como escolher fornecedor de EPI · Tower EPI's</t>
        </is>
      </c>
      <c r="E12" s="5" t="n">
        <v>45</v>
      </c>
      <c r="F12" s="5">
        <f>IF(E11=0,"sem title",IF(E11&gt;60,"longo",IF(E11&lt;30,"curto","ok")))</f>
        <v/>
      </c>
      <c r="G12" s="4" t="inlineStr">
        <is>
          <t>O que exigir de um fornecedor de EPI antes de fechar: CA na proposta, descrição do que foi aprovado, reposição e troca de numeração. Com os sinais de risco.</t>
        </is>
      </c>
      <c r="H12" s="5" t="n">
        <v>156</v>
      </c>
      <c r="I12" s="5">
        <f>IF(H11=0,"sem description",IF(H11&gt;160,"longa",IF(H11&lt;120,"curta","ok")))</f>
        <v/>
      </c>
      <c r="J12" s="4" t="inlineStr">
        <is>
          <t>Como escolher um fornecedor de EPI</t>
        </is>
      </c>
      <c r="K12" s="5" t="n">
        <v>990</v>
      </c>
      <c r="L12" s="3" t="inlineStr">
        <is>
          <t>2026-09-05</t>
        </is>
      </c>
    </row>
    <row r="13">
      <c r="A13" s="2" t="inlineStr">
        <is>
          <t>Conteúdo — artigo</t>
        </is>
      </c>
      <c r="B13" s="3" t="inlineStr">
        <is>
          <t>Calçados</t>
        </is>
      </c>
      <c r="C13" s="4" t="inlineStr">
        <is>
          <t>https://towerepis.com.br/conhecimento/como-limpar-e-conservar-calcado-de-seguranca/</t>
        </is>
      </c>
      <c r="D13" s="4" t="inlineStr">
        <is>
          <t>Como limpar calçado de segurança · Tower EPI's</t>
        </is>
      </c>
      <c r="E13" s="5" t="n">
        <v>46</v>
      </c>
      <c r="F13" s="5">
        <f>IF(E12=0,"sem title",IF(E12&gt;60,"longo",IF(E12&lt;30,"curto","ok")))</f>
        <v/>
      </c>
      <c r="G13" s="4" t="inlineStr">
        <is>
          <t>A rotina de limpeza e secagem que faz o calçado de trabalho durar, o que nunca fazer com couro e solado, e por que alternar pares rende mais que qualquer produto.</t>
        </is>
      </c>
      <c r="H13" s="5" t="n">
        <v>162</v>
      </c>
      <c r="I13" s="5">
        <f>IF(H12=0,"sem description",IF(H12&gt;160,"longa",IF(H12&lt;120,"curta","ok")))</f>
        <v/>
      </c>
      <c r="J13" s="4" t="inlineStr">
        <is>
          <t>Como limpar e conservar calçado de segurança</t>
        </is>
      </c>
      <c r="K13" s="5" t="n">
        <v>1121</v>
      </c>
      <c r="L13" s="3" t="inlineStr">
        <is>
          <t>2026-09-11</t>
        </is>
      </c>
    </row>
    <row r="14">
      <c r="A14" s="2" t="inlineStr">
        <is>
          <t>Conteúdo — artigo</t>
        </is>
      </c>
      <c r="B14" s="3" t="inlineStr">
        <is>
          <t>Normas</t>
        </is>
      </c>
      <c r="C14" s="4" t="inlineStr">
        <is>
          <t>https://towerepis.com.br/conhecimento/empresa-pode-descontar-epi-do-salario/</t>
        </is>
      </c>
      <c r="D14" s="4" t="inlineStr">
        <is>
          <t>Pode descontar EPI do salário? · Tower EPI's</t>
        </is>
      </c>
      <c r="E14" s="5" t="n">
        <v>44</v>
      </c>
      <c r="F14" s="5">
        <f>IF(E13=0,"sem title",IF(E13&gt;60,"longo",IF(E13&lt;30,"curto","ok")))</f>
        <v/>
      </c>
      <c r="G14" s="4" t="inlineStr">
        <is>
          <t>O que a NR-6 resolve sem margem, o que fica para o direito do trabalho e o que evita a discussão no dia a dia. Sem parecer jurídico, com a fonte oficial.</t>
        </is>
      </c>
      <c r="H14" s="5" t="n">
        <v>153</v>
      </c>
      <c r="I14" s="5">
        <f>IF(H13=0,"sem description",IF(H13&gt;160,"longa",IF(H13&lt;120,"curta","ok")))</f>
        <v/>
      </c>
      <c r="J14" s="4" t="inlineStr">
        <is>
          <t>A empresa pode descontar EPI do salário?</t>
        </is>
      </c>
      <c r="K14" s="5" t="n">
        <v>1157</v>
      </c>
      <c r="L14" s="3" t="inlineStr">
        <is>
          <t>2026-09-04</t>
        </is>
      </c>
    </row>
    <row r="15">
      <c r="A15" s="2" t="inlineStr">
        <is>
          <t>Conteúdo — artigo</t>
        </is>
      </c>
      <c r="B15" s="3" t="inlineStr">
        <is>
          <t>Compra</t>
        </is>
      </c>
      <c r="C15" s="4" t="inlineStr">
        <is>
          <t>https://towerepis.com.br/conhecimento/epi-na-regiao-metropolitana-de-fortaleza/</t>
        </is>
      </c>
      <c r="D15" s="4" t="inlineStr">
        <is>
          <t>EPI na Região Metropolitana de Fortaleza · Tower EPI's</t>
        </is>
      </c>
      <c r="E15" s="5" t="n">
        <v>54</v>
      </c>
      <c r="F15" s="5">
        <f>IF(E14=0,"sem title",IF(E14&gt;60,"longo",IF(E14&lt;30,"curto","ok")))</f>
        <v/>
      </c>
      <c r="G15" s="4" t="inlineStr">
        <is>
          <t>O que muda na escolha de EPI entre os municípios da Região Metropolitana de Fortaleza, e como montar o pedido de uma equipe espalhada sem errar em metade dela.</t>
        </is>
      </c>
      <c r="H15" s="5" t="n">
        <v>159</v>
      </c>
      <c r="I15" s="5">
        <f>IF(H14=0,"sem description",IF(H14&gt;160,"longa",IF(H14&lt;120,"curta","ok")))</f>
        <v/>
      </c>
      <c r="J15" s="4" t="inlineStr">
        <is>
          <t>EPI na Região Metropolitana de Fortaleza: o que muda de cidade para cidade</t>
        </is>
      </c>
      <c r="K15" s="5" t="n">
        <v>1086</v>
      </c>
      <c r="L15" s="3" t="inlineStr">
        <is>
          <t>2026-09-20</t>
        </is>
      </c>
    </row>
    <row r="16">
      <c r="A16" s="2" t="inlineStr">
        <is>
          <t>Conteúdo — artigo</t>
        </is>
      </c>
      <c r="B16" s="3" t="inlineStr">
        <is>
          <t>Proteção</t>
        </is>
      </c>
      <c r="C16" s="4" t="inlineStr">
        <is>
          <t>https://towerepis.com.br/conhecimento/epi-para-aplicacao-de-defensivo-agricola/</t>
        </is>
      </c>
      <c r="D16" s="4" t="inlineStr">
        <is>
          <t>EPI para aplicação de defensivo · Tower EPI's</t>
        </is>
      </c>
      <c r="E16" s="5" t="n">
        <v>45</v>
      </c>
      <c r="F16" s="5">
        <f>IF(E15=0,"sem title",IF(E15&gt;60,"longo",IF(E15&lt;30,"curto","ok")))</f>
        <v/>
      </c>
      <c r="G16" s="4" t="inlineStr">
        <is>
          <t>Por que a bula do defensivo é quem especifica o EPI, o que muda entre preparo e aplicação, e o cuidado depois do trabalho que quase ninguém faz direito.</t>
        </is>
      </c>
      <c r="H16" s="5" t="n">
        <v>152</v>
      </c>
      <c r="I16" s="5">
        <f>IF(H15=0,"sem description",IF(H15&gt;160,"longa",IF(H15&lt;120,"curta","ok")))</f>
        <v/>
      </c>
      <c r="J16" s="4" t="inlineStr">
        <is>
          <t>EPI para aplicação de defensivo agrícola</t>
        </is>
      </c>
      <c r="K16" s="5" t="n">
        <v>1346</v>
      </c>
      <c r="L16" s="3" t="inlineStr">
        <is>
          <t>2026-09-20</t>
        </is>
      </c>
    </row>
    <row r="17">
      <c r="A17" s="2" t="inlineStr">
        <is>
          <t>Conteúdo — artigo</t>
        </is>
      </c>
      <c r="B17" s="3" t="inlineStr">
        <is>
          <t>Proteção</t>
        </is>
      </c>
      <c r="C17" s="4" t="inlineStr">
        <is>
          <t>https://towerepis.com.br/conhecimento/epi-para-eletricista-o-que-muda/</t>
        </is>
      </c>
      <c r="D17" s="4" t="inlineStr">
        <is>
          <t>EPI para eletricista: o que muda · Tower EPI's</t>
        </is>
      </c>
      <c r="E17" s="5" t="n">
        <v>46</v>
      </c>
      <c r="F17" s="5">
        <f>IF(E16=0,"sem title",IF(E16&gt;60,"longo",IF(E16&lt;30,"curto","ok")))</f>
        <v/>
      </c>
      <c r="G17" s="4" t="inlineStr">
        <is>
          <t>Por que EPI para eletricidade é uma compra diferente, o que a aparência não mostra, e o que precisa estar definido antes de pedir orçamento. Sem substituir a análise de risco.</t>
        </is>
      </c>
      <c r="H17" s="5" t="n">
        <v>175</v>
      </c>
      <c r="I17" s="5">
        <f>IF(H16=0,"sem description",IF(H16&gt;160,"longa",IF(H16&lt;120,"curta","ok")))</f>
        <v/>
      </c>
      <c r="J17" s="4" t="inlineStr">
        <is>
          <t>EPI para eletricista: o que muda na escolha</t>
        </is>
      </c>
      <c r="K17" s="5" t="n">
        <v>940</v>
      </c>
      <c r="L17" s="3" t="inlineStr">
        <is>
          <t>2026-09-05</t>
        </is>
      </c>
    </row>
    <row r="18">
      <c r="A18" s="2" t="inlineStr">
        <is>
          <t>Conteúdo — artigo</t>
        </is>
      </c>
      <c r="B18" s="3" t="inlineStr">
        <is>
          <t>Proteção</t>
        </is>
      </c>
      <c r="C18" s="4" t="inlineStr">
        <is>
          <t>https://towerepis.com.br/conhecimento/epi-para-fabrica-de-calcado/</t>
        </is>
      </c>
      <c r="D18" s="4" t="inlineStr">
        <is>
          <t>EPI para fábrica de calçado · Tower EPI's</t>
        </is>
      </c>
      <c r="E18" s="5" t="n">
        <v>41</v>
      </c>
      <c r="F18" s="5">
        <f>IF(E17=0,"sem title",IF(E17&gt;60,"longo",IF(E17&lt;30,"curto","ok")))</f>
        <v/>
      </c>
      <c r="G18" s="4" t="inlineStr">
        <is>
          <t>O que organiza o EPI de uma fábrica de calçado: vapor de cola e solvente, corte, ruído e jornada em pé — e o que costuma faltar no pedido da fábrica pequena.</t>
        </is>
      </c>
      <c r="H18" s="5" t="n">
        <v>157</v>
      </c>
      <c r="I18" s="5">
        <f>IF(H17=0,"sem description",IF(H17&gt;160,"longa",IF(H17&lt;120,"curta","ok")))</f>
        <v/>
      </c>
      <c r="J18" s="4" t="inlineStr">
        <is>
          <t>EPI para fábrica de calçado: o que muda na escolha</t>
        </is>
      </c>
      <c r="K18" s="5" t="n">
        <v>1104</v>
      </c>
      <c r="L18" s="3" t="inlineStr">
        <is>
          <t>2026-09-20</t>
        </is>
      </c>
    </row>
    <row r="19">
      <c r="A19" s="2" t="inlineStr">
        <is>
          <t>Conteúdo — artigo</t>
        </is>
      </c>
      <c r="B19" s="3" t="inlineStr">
        <is>
          <t>Proteção</t>
        </is>
      </c>
      <c r="C19" s="4" t="inlineStr">
        <is>
          <t>https://towerepis.com.br/conhecimento/epi-para-frigorifico-e-camara-fria/</t>
        </is>
      </c>
      <c r="D19" s="4" t="inlineStr">
        <is>
          <t>EPI para frigorífico e câmara fria · Tower EPI's</t>
        </is>
      </c>
      <c r="E19" s="5" t="n">
        <v>48</v>
      </c>
      <c r="F19" s="5">
        <f>IF(E18=0,"sem title",IF(E18&gt;60,"longo",IF(E18&lt;30,"curto","ok")))</f>
        <v/>
      </c>
      <c r="G19" s="4" t="inlineStr">
        <is>
          <t>O que muda na escolha de EPI para frigorífico e câmara fria: mão dormente, luva em camadas, piso molhado e o que costuma faltar no pedido.</t>
        </is>
      </c>
      <c r="H19" s="5" t="n">
        <v>138</v>
      </c>
      <c r="I19" s="5">
        <f>IF(H18=0,"sem description",IF(H18&gt;160,"longa",IF(H18&lt;120,"curta","ok")))</f>
        <v/>
      </c>
      <c r="J19" s="4" t="inlineStr">
        <is>
          <t>EPI para frigorífico e câmara fria: o que muda</t>
        </is>
      </c>
      <c r="K19" s="5" t="n">
        <v>1177</v>
      </c>
      <c r="L19" s="3" t="inlineStr">
        <is>
          <t>2026-09-11</t>
        </is>
      </c>
    </row>
    <row r="20">
      <c r="A20" s="2" t="inlineStr">
        <is>
          <t>Conteúdo — artigo</t>
        </is>
      </c>
      <c r="B20" s="3" t="inlineStr">
        <is>
          <t>Proteção</t>
        </is>
      </c>
      <c r="C20" s="4" t="inlineStr">
        <is>
          <t>https://towerepis.com.br/conhecimento/epi-para-hotelaria-o-que-muda/</t>
        </is>
      </c>
      <c r="D20" s="4" t="inlineStr">
        <is>
          <t>EPI para hotelaria: o que muda · Tower EPI's</t>
        </is>
      </c>
      <c r="E20" s="5" t="n">
        <v>44</v>
      </c>
      <c r="F20" s="5">
        <f>IF(E19=0,"sem title",IF(E19&gt;60,"longo",IF(E19&lt;30,"curto","ok")))</f>
        <v/>
      </c>
      <c r="G20" s="4" t="inlineStr">
        <is>
          <t>Cozinha, governança, lavanderia, manutenção e área de lazer pedem EPI diferente. O que muda em cada uma, e por que a alta temporada é um problema de EPI.</t>
        </is>
      </c>
      <c r="H20" s="5" t="n">
        <v>153</v>
      </c>
      <c r="I20" s="5">
        <f>IF(H19=0,"sem description",IF(H19&gt;160,"longa",IF(H19&lt;120,"curta","ok")))</f>
        <v/>
      </c>
      <c r="J20" s="4" t="inlineStr">
        <is>
          <t>EPI para hotel e pousada: o que muda na escolha</t>
        </is>
      </c>
      <c r="K20" s="5" t="n">
        <v>1144</v>
      </c>
      <c r="L20" s="3" t="inlineStr">
        <is>
          <t>2026-09-20</t>
        </is>
      </c>
    </row>
    <row r="21">
      <c r="A21" s="2" t="inlineStr">
        <is>
          <t>Conteúdo — artigo</t>
        </is>
      </c>
      <c r="B21" s="3" t="inlineStr">
        <is>
          <t>Proteção</t>
        </is>
      </c>
      <c r="C21" s="4" t="inlineStr">
        <is>
          <t>https://towerepis.com.br/conhecimento/epi-para-industria-textil/</t>
        </is>
      </c>
      <c r="D21" s="4" t="inlineStr">
        <is>
          <t>EPI para indústria têxtil · Tower EPI's</t>
        </is>
      </c>
      <c r="E21" s="5" t="n">
        <v>39</v>
      </c>
      <c r="F21" s="5">
        <f>IF(E20=0,"sem title",IF(E20&gt;60,"longo",IF(E20&lt;30,"curto","ok")))</f>
        <v/>
      </c>
      <c r="G21" s="4" t="inlineStr">
        <is>
          <t>Ruído contínuo, fibra no ar, corte e jornada em pé: o que muda na escolha de EPI entre fiação, tecelagem e confecção, e o que costuma faltar no pedido.</t>
        </is>
      </c>
      <c r="H21" s="5" t="n">
        <v>151</v>
      </c>
      <c r="I21" s="5">
        <f>IF(H20=0,"sem description",IF(H20&gt;160,"longa",IF(H20&lt;120,"curta","ok")))</f>
        <v/>
      </c>
      <c r="J21" s="4" t="inlineStr">
        <is>
          <t>EPI para indústria têxtil: o que muda na escolha</t>
        </is>
      </c>
      <c r="K21" s="5" t="n">
        <v>1140</v>
      </c>
      <c r="L21" s="3" t="inlineStr">
        <is>
          <t>2026-09-20</t>
        </is>
      </c>
    </row>
    <row r="22">
      <c r="A22" s="2" t="inlineStr">
        <is>
          <t>Conteúdo — artigo</t>
        </is>
      </c>
      <c r="B22" s="3" t="inlineStr">
        <is>
          <t>Proteção</t>
        </is>
      </c>
      <c r="C22" s="4" t="inlineStr">
        <is>
          <t>https://towerepis.com.br/conhecimento/epi-para-mecanico-de-oficina/</t>
        </is>
      </c>
      <c r="D22" s="4" t="inlineStr">
        <is>
          <t>EPI para mecânico de oficina · Tower EPI's</t>
        </is>
      </c>
      <c r="E22" s="5" t="n">
        <v>42</v>
      </c>
      <c r="F22" s="5">
        <f>IF(E21=0,"sem title",IF(E21&gt;60,"longo",IF(E21&lt;30,"curto","ok")))</f>
        <v/>
      </c>
      <c r="G22" s="4" t="inlineStr">
        <is>
          <t>Óleo, solvente, peça quente e escorregão: o que muda na escolha de EPI numa oficina mecânica, e por que filtro não resolve gás de escape.</t>
        </is>
      </c>
      <c r="H22" s="5" t="n">
        <v>137</v>
      </c>
      <c r="I22" s="5">
        <f>IF(H21=0,"sem description",IF(H21&gt;160,"longa",IF(H21&lt;120,"curta","ok")))</f>
        <v/>
      </c>
      <c r="J22" s="4" t="inlineStr">
        <is>
          <t>EPI para mecânico de oficina: o que muda na escolha</t>
        </is>
      </c>
      <c r="K22" s="5" t="n">
        <v>1144</v>
      </c>
      <c r="L22" s="3" t="inlineStr">
        <is>
          <t>2026-09-20</t>
        </is>
      </c>
    </row>
    <row r="23">
      <c r="A23" s="2" t="inlineStr">
        <is>
          <t>Conteúdo — artigo</t>
        </is>
      </c>
      <c r="B23" s="3" t="inlineStr">
        <is>
          <t>Proteção</t>
        </is>
      </c>
      <c r="C23" s="4" t="inlineStr">
        <is>
          <t>https://towerepis.com.br/conhecimento/epi-para-soldador-o-que-muda/</t>
        </is>
      </c>
      <c r="D23" s="4" t="inlineStr">
        <is>
          <t>EPI para soldador: o que muda · Tower EPI's</t>
        </is>
      </c>
      <c r="E23" s="5" t="n">
        <v>43</v>
      </c>
      <c r="F23" s="5">
        <f>IF(E22=0,"sem title",IF(E22&gt;60,"longo",IF(E22&lt;30,"curto","ok")))</f>
        <v/>
      </c>
      <c r="G23" s="4" t="inlineStr">
        <is>
          <t>Radiação, respingo e fumo de solda exigem proteções diferentes ao mesmo tempo. O que muda na escolha, o que a roupa não pode ser e quem mais fica exposto.</t>
        </is>
      </c>
      <c r="H23" s="5" t="n">
        <v>154</v>
      </c>
      <c r="I23" s="5">
        <f>IF(H22=0,"sem description",IF(H22&gt;160,"longa",IF(H22&lt;120,"curta","ok")))</f>
        <v/>
      </c>
      <c r="J23" s="4" t="inlineStr">
        <is>
          <t>EPI para soldador: o que muda na escolha</t>
        </is>
      </c>
      <c r="K23" s="5" t="n">
        <v>1164</v>
      </c>
      <c r="L23" s="3" t="inlineStr">
        <is>
          <t>2026-09-12</t>
        </is>
      </c>
    </row>
    <row r="24">
      <c r="A24" s="2" t="inlineStr">
        <is>
          <t>Conteúdo — artigo</t>
        </is>
      </c>
      <c r="B24" s="3" t="inlineStr">
        <is>
          <t>Compra</t>
        </is>
      </c>
      <c r="C24" s="4" t="inlineStr">
        <is>
          <t>https://towerepis.com.br/conhecimento/epi-pelo-menor-preco-onde-a-conta-nao-fecha/</t>
        </is>
      </c>
      <c r="D24" s="4" t="inlineStr">
        <is>
          <t>EPI pelo menor preço: a conta fecha? · Tower EPI's</t>
        </is>
      </c>
      <c r="E24" s="5" t="n">
        <v>50</v>
      </c>
      <c r="F24" s="5">
        <f>IF(E23=0,"sem title",IF(E23&gt;60,"longo",IF(E23&lt;30,"curto","ok")))</f>
        <v/>
      </c>
      <c r="G24" s="4" t="inlineStr">
        <is>
          <t>As quatro parcelas do custo real de um EPI, quando o mais barato é a escolha certa e quando ele é o mais caro de todos — com o que pedir para fazer a conta.</t>
        </is>
      </c>
      <c r="H24" s="5" t="n">
        <v>156</v>
      </c>
      <c r="I24" s="5">
        <f>IF(H23=0,"sem description",IF(H23&gt;160,"longa",IF(H23&lt;120,"curta","ok")))</f>
        <v/>
      </c>
      <c r="J24" s="4" t="inlineStr">
        <is>
          <t>O erro de comprar EPI pelo menor preço</t>
        </is>
      </c>
      <c r="K24" s="5" t="n">
        <v>1113</v>
      </c>
      <c r="L24" s="3" t="inlineStr">
        <is>
          <t>2026-09-20</t>
        </is>
      </c>
    </row>
    <row r="25">
      <c r="A25" s="2" t="inlineStr">
        <is>
          <t>Conteúdo — artigo</t>
        </is>
      </c>
      <c r="B25" s="3" t="inlineStr">
        <is>
          <t>Normas</t>
        </is>
      </c>
      <c r="C25" s="4" t="inlineStr">
        <is>
          <t>https://towerepis.com.br/conhecimento/ficha-de-entrega-de-epi-o-que-precisa-constar/</t>
        </is>
      </c>
      <c r="D25" s="4" t="inlineStr">
        <is>
          <t>Ficha de entrega de EPI: o que precisa constar · Tower EPI's</t>
        </is>
      </c>
      <c r="E25" s="5" t="n">
        <v>60</v>
      </c>
      <c r="F25" s="5">
        <f>IF(E24=0,"sem title",IF(E24&gt;60,"longo",IF(E24&lt;30,"curto","ok")))</f>
        <v/>
      </c>
      <c r="G25" s="4" t="inlineStr">
        <is>
          <t>A NR-6 obriga a registrar a entrega do EPI. Veja o que a ficha precisa conter, os erros mais comuns no preenchimento e como organizar isso numa equipe grande.</t>
        </is>
      </c>
      <c r="H25" s="5" t="n">
        <v>158</v>
      </c>
      <c r="I25" s="5">
        <f>IF(H24=0,"sem description",IF(H24&gt;160,"longa",IF(H24&lt;120,"curta","ok")))</f>
        <v/>
      </c>
      <c r="J25" s="4" t="inlineStr">
        <is>
          <t>Ficha de entrega de EPI: o que precisa constar</t>
        </is>
      </c>
      <c r="K25" s="5" t="n">
        <v>796</v>
      </c>
      <c r="L25" s="3" t="inlineStr">
        <is>
          <t>2026-09-03</t>
        </is>
      </c>
    </row>
    <row r="26">
      <c r="A26" s="2" t="inlineStr">
        <is>
          <t>Conteúdo — artigo</t>
        </is>
      </c>
      <c r="B26" s="3" t="inlineStr">
        <is>
          <t>Normas</t>
        </is>
      </c>
      <c r="C26" s="4" t="inlineStr">
        <is>
          <t>https://towerepis.com.br/conhecimento/funcionario-recusa-usar-epi-o-que-fazer/</t>
        </is>
      </c>
      <c r="D26" s="4" t="inlineStr">
        <is>
          <t>Funcionário recusa usar EPI: o que fazer · Tower EPI's</t>
        </is>
      </c>
      <c r="E26" s="5" t="n">
        <v>54</v>
      </c>
      <c r="F26" s="5">
        <f>IF(E25=0,"sem title",IF(E25&gt;60,"longo",IF(E25&lt;30,"curto","ok")))</f>
        <v/>
      </c>
      <c r="G26" s="4" t="inlineStr">
        <is>
          <t>As causas reais da recusa de EPI, o que fazer em cada uma e como registrar — a leitura operacional, com o que a NR-6 coloca do lado do trabalhador e do empregador.</t>
        </is>
      </c>
      <c r="H26" s="5" t="n">
        <v>163</v>
      </c>
      <c r="I26" s="5">
        <f>IF(H25=0,"sem description",IF(H25&gt;160,"longa",IF(H25&lt;120,"curta","ok")))</f>
        <v/>
      </c>
      <c r="J26" s="4" t="inlineStr">
        <is>
          <t>Funcionário se recusa a usar o EPI: o que fazer</t>
        </is>
      </c>
      <c r="K26" s="5" t="n">
        <v>1120</v>
      </c>
      <c r="L26" s="3" t="inlineStr">
        <is>
          <t>2026-09-11</t>
        </is>
      </c>
    </row>
    <row r="27">
      <c r="A27" s="2" t="inlineStr">
        <is>
          <t>Conteúdo — artigo</t>
        </is>
      </c>
      <c r="B27" s="3" t="inlineStr">
        <is>
          <t>Calçados</t>
        </is>
      </c>
      <c r="C27" s="4" t="inlineStr">
        <is>
          <t>https://towerepis.com.br/conhecimento/grade-de-numeracao-como-definir-para-a-equipe/</t>
        </is>
      </c>
      <c r="D27" s="4" t="inlineStr">
        <is>
          <t>Grade de numeração de calçado para equipe · Tower EPI's</t>
        </is>
      </c>
      <c r="E27" s="5" t="n">
        <v>55</v>
      </c>
      <c r="F27" s="5">
        <f>IF(E26=0,"sem title",IF(E26&gt;60,"longo",IF(E26&lt;30,"curto","ok")))</f>
        <v/>
      </c>
      <c r="G27" s="4" t="inlineStr">
        <is>
          <t>Como levantar a numeração pessoa a pessoa, provar antes de fechar, montar a grade com reserva e registrar — para o pedido sair certo na primeira vez.</t>
        </is>
      </c>
      <c r="H27" s="5" t="n">
        <v>149</v>
      </c>
      <c r="I27" s="5">
        <f>IF(H26=0,"sem description",IF(H26&gt;160,"longa",IF(H26&lt;120,"curta","ok")))</f>
        <v/>
      </c>
      <c r="J27" s="4" t="inlineStr">
        <is>
          <t>Como definir a grade de numeração de uma equipe</t>
        </is>
      </c>
      <c r="K27" s="5" t="n">
        <v>1033</v>
      </c>
      <c r="L27" s="3" t="inlineStr">
        <is>
          <t>2026-09-04</t>
        </is>
      </c>
    </row>
    <row r="28">
      <c r="A28" s="2" t="inlineStr">
        <is>
          <t>Conteúdo — artigo</t>
        </is>
      </c>
      <c r="B28" s="3" t="inlineStr">
        <is>
          <t>Proteção</t>
        </is>
      </c>
      <c r="C28" s="4" t="inlineStr">
        <is>
          <t>https://towerepis.com.br/conhecimento/luva-de-procedimento-nao-e-luva-de-limpeza/</t>
        </is>
      </c>
      <c r="D28" s="4" t="inlineStr">
        <is>
          <t>Luva de procedimento serve para limpeza? Não · Tower EPI's</t>
        </is>
      </c>
      <c r="E28" s="5" t="n">
        <v>58</v>
      </c>
      <c r="F28" s="5">
        <f>IF(E27=0,"sem title",IF(E27&gt;60,"longo",IF(E27&lt;30,"curto","ok")))</f>
        <v/>
      </c>
      <c r="G28" s="4" t="inlineStr">
        <is>
          <t>Por que a luva descartável não protege de saneante, como escolher a luva pelo produto químico manuseado e o que muda entre nitrílica, látex e PVC.</t>
        </is>
      </c>
      <c r="H28" s="5" t="n">
        <v>146</v>
      </c>
      <c r="I28" s="5">
        <f>IF(H27=0,"sem description",IF(H27&gt;160,"longa",IF(H27&lt;120,"curta","ok")))</f>
        <v/>
      </c>
      <c r="J28" s="4" t="inlineStr">
        <is>
          <t>Luva de procedimento não é luva de limpeza</t>
        </is>
      </c>
      <c r="K28" s="5" t="n">
        <v>765</v>
      </c>
      <c r="L28" s="3" t="inlineStr">
        <is>
          <t>2026-09-03</t>
        </is>
      </c>
    </row>
    <row r="29">
      <c r="A29" s="2" t="inlineStr">
        <is>
          <t>Conteúdo — artigo</t>
        </is>
      </c>
      <c r="B29" s="3" t="inlineStr">
        <is>
          <t>Proteção</t>
        </is>
      </c>
      <c r="C29" s="4" t="inlineStr">
        <is>
          <t>https://towerepis.com.br/conhecimento/luva-para-produto-quimico-como-escolher/</t>
        </is>
      </c>
      <c r="D29" s="4" t="inlineStr">
        <is>
          <t>Luva para produto químico: como escolher · Tower EPI's</t>
        </is>
      </c>
      <c r="E29" s="5" t="n">
        <v>54</v>
      </c>
      <c r="F29" s="5">
        <f>IF(E28=0,"sem title",IF(E28&gt;60,"longo",IF(E28&lt;30,"curto","ok")))</f>
        <v/>
      </c>
      <c r="G29" s="4" t="inlineStr">
        <is>
          <t>O método que parte da ficha do produto químico, não do material da luva: concentração, tempo de contato, permeação e o que conferir no CA antes de comprar.</t>
        </is>
      </c>
      <c r="H29" s="5" t="n">
        <v>155</v>
      </c>
      <c r="I29" s="5">
        <f>IF(H28=0,"sem description",IF(H28&gt;160,"longa",IF(H28&lt;120,"curta","ok")))</f>
        <v/>
      </c>
      <c r="J29" s="4" t="inlineStr">
        <is>
          <t>Como escolher luva pelo produto químico que você manuseia</t>
        </is>
      </c>
      <c r="K29" s="5" t="n">
        <v>1242</v>
      </c>
      <c r="L29" s="3" t="inlineStr">
        <is>
          <t>2026-09-04</t>
        </is>
      </c>
    </row>
    <row r="30">
      <c r="A30" s="2" t="inlineStr">
        <is>
          <t>Conteúdo — artigo</t>
        </is>
      </c>
      <c r="B30" s="3" t="inlineStr">
        <is>
          <t>Proteção</t>
        </is>
      </c>
      <c r="C30" s="4" t="inlineStr">
        <is>
          <t>https://towerepis.com.br/conhecimento/mascara-descartavel-nao-protege-de-vapor-quimico/</t>
        </is>
      </c>
      <c r="D30" s="4" t="inlineStr">
        <is>
          <t>PFF2 serve para produto químico? Não, e o motivo · Tower EPI's</t>
        </is>
      </c>
      <c r="E30" s="5" t="n">
        <v>62</v>
      </c>
      <c r="F30" s="5">
        <f>IF(E29=0,"sem title",IF(E29&gt;60,"longo",IF(E29&lt;30,"curto","ok")))</f>
        <v/>
      </c>
      <c r="G30" s="4" t="inlineStr">
        <is>
          <t>Por que a máscara PFF não retém vapor químico, o que é preciso usar no lugar e como identificar se o respirador da sua equipe está correto.</t>
        </is>
      </c>
      <c r="H30" s="5" t="n">
        <v>139</v>
      </c>
      <c r="I30" s="5">
        <f>IF(H29=0,"sem description",IF(H29&gt;160,"longa",IF(H29&lt;120,"curta","ok")))</f>
        <v/>
      </c>
      <c r="J30" s="4" t="inlineStr">
        <is>
          <t>Máscara descartável não protege de vapor químico</t>
        </is>
      </c>
      <c r="K30" s="5" t="n">
        <v>753</v>
      </c>
      <c r="L30" s="3" t="inlineStr">
        <is>
          <t>2026-09-03</t>
        </is>
      </c>
    </row>
    <row r="31">
      <c r="A31" s="2" t="inlineStr">
        <is>
          <t>Conteúdo — artigo</t>
        </is>
      </c>
      <c r="B31" s="3" t="inlineStr">
        <is>
          <t>Normas</t>
        </is>
      </c>
      <c r="C31" s="4" t="inlineStr">
        <is>
          <t>https://towerepis.com.br/conhecimento/nr-6-o-que-a-empresa-precisa-saber/</t>
        </is>
      </c>
      <c r="D31" s="4" t="inlineStr">
        <is>
          <t>NR-6: o que a empresa precisa saber sobre EPI · Tower EPI's</t>
        </is>
      </c>
      <c r="E31" s="5" t="n">
        <v>59</v>
      </c>
      <c r="F31" s="5">
        <f>IF(E30=0,"sem title",IF(E30&gt;60,"longo",IF(E30&lt;30,"curto","ok")))</f>
        <v/>
      </c>
      <c r="G31" s="4" t="inlineStr">
        <is>
          <t>Fornecimento gratuito, CA válido, ficha de entrega, treinamento e o erro mais comum de quem compra. Resumo prático da norma, com o texto oficial citado.</t>
        </is>
      </c>
      <c r="H31" s="5" t="n">
        <v>152</v>
      </c>
      <c r="I31" s="5">
        <f>IF(H30=0,"sem description",IF(H30&gt;160,"longa",IF(H30&lt;120,"curta","ok")))</f>
        <v/>
      </c>
      <c r="J31" s="4" t="inlineStr">
        <is>
          <t>NR-6: o que a empresa precisa saber sobre EPI</t>
        </is>
      </c>
      <c r="K31" s="5" t="n">
        <v>739</v>
      </c>
      <c r="L31" s="3" t="inlineStr">
        <is>
          <t>2026-08-30</t>
        </is>
      </c>
    </row>
    <row r="32">
      <c r="A32" s="2" t="inlineStr">
        <is>
          <t>Conteúdo — artigo</t>
        </is>
      </c>
      <c r="B32" s="3" t="inlineStr">
        <is>
          <t>Normas</t>
        </is>
      </c>
      <c r="C32" s="4" t="inlineStr">
        <is>
          <t>https://towerepis.com.br/conhecimento/o-que-e-ca-certificado-de-aprovacao/</t>
        </is>
      </c>
      <c r="D32" s="4" t="inlineStr">
        <is>
          <t>O que é o CA do EPI e como consultar · Tower EPI's</t>
        </is>
      </c>
      <c r="E32" s="5" t="n">
        <v>50</v>
      </c>
      <c r="F32" s="5">
        <f>IF(E31=0,"sem title",IF(E31&gt;60,"longo",IF(E31&lt;30,"curto","ok")))</f>
        <v/>
      </c>
      <c r="G32" s="4" t="inlineStr">
        <is>
          <t>Entenda o que é o Certificado de Aprovação (CA) de EPI, para que serve, como consultar no gov.br e o que fazer quando está vencido.</t>
        </is>
      </c>
      <c r="H32" s="5" t="n">
        <v>131</v>
      </c>
      <c r="I32" s="5">
        <f>IF(H31=0,"sem description",IF(H31&gt;160,"longa",IF(H31&lt;120,"curta","ok")))</f>
        <v/>
      </c>
      <c r="J32" s="4" t="inlineStr">
        <is>
          <t>O que é o CA do EPI e como consultar</t>
        </is>
      </c>
      <c r="K32" s="5" t="n">
        <v>733</v>
      </c>
      <c r="L32" s="3" t="inlineStr">
        <is>
          <t>2026-08-30</t>
        </is>
      </c>
    </row>
    <row r="33">
      <c r="A33" s="2" t="inlineStr">
        <is>
          <t>Conteúdo — artigo</t>
        </is>
      </c>
      <c r="B33" s="3" t="inlineStr">
        <is>
          <t>Compra</t>
        </is>
      </c>
      <c r="C33" s="4" t="inlineStr">
        <is>
          <t>https://towerepis.com.br/conhecimento/primeiro-pedido-de-epi-como-montar/</t>
        </is>
      </c>
      <c r="D33" s="4" t="inlineStr">
        <is>
          <t>Primeiro pedido de EPI da equipe · Tower EPI's</t>
        </is>
      </c>
      <c r="E33" s="5" t="n">
        <v>46</v>
      </c>
      <c r="F33" s="5">
        <f>IF(E32=0,"sem title",IF(E32&gt;60,"longo",IF(E32&lt;30,"curto","ok")))</f>
        <v/>
      </c>
      <c r="G33" s="4" t="inlineStr">
        <is>
          <t>Os cinco dados que fazem o primeiro pedido de EPI andar, na ordem em que se levantam. E o que não precisa estar pronto para pedir orçamento.</t>
        </is>
      </c>
      <c r="H33" s="5" t="n">
        <v>140</v>
      </c>
      <c r="I33" s="5">
        <f>IF(H32=0,"sem description",IF(H32&gt;160,"longa",IF(H32&lt;120,"curta","ok")))</f>
        <v/>
      </c>
      <c r="J33" s="4" t="inlineStr">
        <is>
          <t>Como montar o primeiro pedido de EPI da equipe</t>
        </is>
      </c>
      <c r="K33" s="5" t="n">
        <v>814</v>
      </c>
      <c r="L33" s="3" t="inlineStr">
        <is>
          <t>2026-09-05</t>
        </is>
      </c>
    </row>
    <row r="34">
      <c r="A34" s="2" t="inlineStr">
        <is>
          <t>Conteúdo — artigo</t>
        </is>
      </c>
      <c r="B34" s="3" t="inlineStr">
        <is>
          <t>Proteção</t>
        </is>
      </c>
      <c r="C34" s="4" t="inlineStr">
        <is>
          <t>https://towerepis.com.br/conhecimento/protetor-auditivo-plug-ou-concha/</t>
        </is>
      </c>
      <c r="D34" s="4" t="inlineStr">
        <is>
          <t>Protetor auditivo: plug ou concha? · Tower EPI's</t>
        </is>
      </c>
      <c r="E34" s="5" t="n">
        <v>48</v>
      </c>
      <c r="F34" s="5">
        <f>IF(E33=0,"sem title",IF(E33&gt;60,"longo",IF(E33&lt;30,"curto","ok")))</f>
        <v/>
      </c>
      <c r="G34" s="4" t="inlineStr">
        <is>
          <t>Como decidir entre protetor de inserção e concha pela rotina real da equipe: calor, retirada frequente, óculos, comunicação e a atenuação que consta no CA.</t>
        </is>
      </c>
      <c r="H34" s="5" t="n">
        <v>155</v>
      </c>
      <c r="I34" s="5">
        <f>IF(H33=0,"sem description",IF(H33&gt;160,"longa",IF(H33&lt;120,"curta","ok")))</f>
        <v/>
      </c>
      <c r="J34" s="4" t="inlineStr">
        <is>
          <t>Plug ou concha: qual protetor auditivo usar</t>
        </is>
      </c>
      <c r="K34" s="5" t="n">
        <v>903</v>
      </c>
      <c r="L34" s="3" t="inlineStr">
        <is>
          <t>2026-09-05</t>
        </is>
      </c>
    </row>
    <row r="35">
      <c r="A35" s="2" t="inlineStr">
        <is>
          <t>Conteúdo — artigo</t>
        </is>
      </c>
      <c r="B35" s="3" t="inlineStr">
        <is>
          <t>Calçados</t>
        </is>
      </c>
      <c r="C35" s="4" t="inlineStr">
        <is>
          <t>https://towerepis.com.br/conhecimento/quando-trocar-o-calcado-de-seguranca/</t>
        </is>
      </c>
      <c r="D35" s="4" t="inlineStr">
        <is>
          <t>Quando trocar o calçado de segurança · Tower EPI's</t>
        </is>
      </c>
      <c r="E35" s="5" t="n">
        <v>50</v>
      </c>
      <c r="F35" s="5">
        <f>IF(E34=0,"sem title",IF(E34&gt;60,"longo",IF(E34&lt;30,"curto","ok")))</f>
        <v/>
      </c>
      <c r="G35" s="4" t="inlineStr">
        <is>
          <t>A norma não dá prazo — dá condição. Os sinais que pedem troca, por que a validade do CA não é a vida útil do par e como incluir a conferência na rotina.</t>
        </is>
      </c>
      <c r="H35" s="5" t="n">
        <v>152</v>
      </c>
      <c r="I35" s="5">
        <f>IF(H34=0,"sem description",IF(H34&gt;160,"longa",IF(H34&lt;120,"curta","ok")))</f>
        <v/>
      </c>
      <c r="J35" s="4" t="inlineStr">
        <is>
          <t>Quando trocar o calçado de segurança</t>
        </is>
      </c>
      <c r="K35" s="5" t="n">
        <v>1283</v>
      </c>
      <c r="L35" s="3" t="inlineStr">
        <is>
          <t>2026-09-04</t>
        </is>
      </c>
    </row>
    <row r="36">
      <c r="A36" s="2" t="inlineStr">
        <is>
          <t>Conteúdo — artigo</t>
        </is>
      </c>
      <c r="B36" s="3" t="inlineStr">
        <is>
          <t>Calçados</t>
        </is>
      </c>
      <c r="C36" s="4" t="inlineStr">
        <is>
          <t>https://towerepis.com.br/conhecimento/quantos-pares-por-ano-calcular-a-reposicao/</t>
        </is>
      </c>
      <c r="D36" s="4" t="inlineStr">
        <is>
          <t>Quantos pares de calçado por ano para a equipe · Tower EPI's</t>
        </is>
      </c>
      <c r="E36" s="5" t="n">
        <v>60</v>
      </c>
      <c r="F36" s="5">
        <f>IF(E35=0,"sem title",IF(E35&gt;60,"longo",IF(E35&lt;30,"curto","ok")))</f>
        <v/>
      </c>
      <c r="G36" s="4" t="inlineStr">
        <is>
          <t>A conta tem três parcelas: reposição programada, troca eventual e entrada de pessoal. Como tirar o número do seu próprio histórico e o que fazer no primeiro ano.</t>
        </is>
      </c>
      <c r="H36" s="5" t="n">
        <v>161</v>
      </c>
      <c r="I36" s="5">
        <f>IF(H35=0,"sem description",IF(H35&gt;160,"longa",IF(H35&lt;120,"curta","ok")))</f>
        <v/>
      </c>
      <c r="J36" s="4" t="inlineStr">
        <is>
          <t>Quantos pares por ano: como calcular a reposição</t>
        </is>
      </c>
      <c r="K36" s="5" t="n">
        <v>1131</v>
      </c>
      <c r="L36" s="3" t="inlineStr">
        <is>
          <t>2026-09-04</t>
        </is>
      </c>
    </row>
    <row r="37">
      <c r="A37" s="2" t="inlineStr">
        <is>
          <t>Conteúdo — artigo</t>
        </is>
      </c>
      <c r="B37" s="3" t="inlineStr">
        <is>
          <t>Proteção</t>
        </is>
      </c>
      <c r="C37" s="4" t="inlineStr">
        <is>
          <t>https://towerepis.com.br/conhecimento/respirador-como-escolher-o-filtro/</t>
        </is>
      </c>
      <c r="D37" s="4" t="inlineStr">
        <is>
          <t>Respirador: como escolher o filtro · Tower EPI's</t>
        </is>
      </c>
      <c r="E37" s="5" t="n">
        <v>48</v>
      </c>
      <c r="F37" s="5">
        <f>IF(E36=0,"sem title",IF(E36&gt;60,"longo",IF(E36&lt;30,"curto","ok")))</f>
        <v/>
      </c>
      <c r="G37" s="4" t="inlineStr">
        <is>
          <t>Como escolher o filtro do respirador a partir do contaminante, da forma dele no ar e da rotina da equipe — e por que cheiro não serve como critério de troca.</t>
        </is>
      </c>
      <c r="H37" s="5" t="n">
        <v>157</v>
      </c>
      <c r="I37" s="5">
        <f>IF(H36=0,"sem description",IF(H36&gt;160,"longa",IF(H36&lt;120,"curta","ok")))</f>
        <v/>
      </c>
      <c r="J37" s="4" t="inlineStr">
        <is>
          <t>Respirador com filtro: como escolher o cartucho</t>
        </is>
      </c>
      <c r="K37" s="5" t="n">
        <v>1027</v>
      </c>
      <c r="L37" s="3" t="inlineStr">
        <is>
          <t>2026-09-09</t>
        </is>
      </c>
    </row>
    <row r="38">
      <c r="A38" s="2" t="inlineStr">
        <is>
          <t>Conteúdo — artigo</t>
        </is>
      </c>
      <c r="B38" s="3" t="inlineStr">
        <is>
          <t>Calçados</t>
        </is>
      </c>
      <c r="C38" s="4" t="inlineStr">
        <is>
          <t>https://towerepis.com.br/conhecimento/solado-antiderrapante-o-que-significa/</t>
        </is>
      </c>
      <c r="D38" s="4" t="inlineStr">
        <is>
          <t>Solado antiderrapante: o que significa · Tower EPI's</t>
        </is>
      </c>
      <c r="E38" s="5" t="n">
        <v>52</v>
      </c>
      <c r="F38" s="5">
        <f>IF(E37=0,"sem title",IF(E37&gt;60,"longo",IF(E37&lt;30,"curto","ok")))</f>
        <v/>
      </c>
      <c r="G38" s="4" t="inlineStr">
        <is>
          <t>Entenda o que é medido no ensaio de resistência ao escorregamento, o que significam as marcações e como escolher para piso molhado ou oleoso.</t>
        </is>
      </c>
      <c r="H38" s="5" t="n">
        <v>141</v>
      </c>
      <c r="I38" s="5">
        <f>IF(H37=0,"sem description",IF(H37&gt;160,"longa",IF(H37&lt;120,"curta","ok")))</f>
        <v/>
      </c>
      <c r="J38" s="4" t="inlineStr">
        <is>
          <t>Solado antiderrapante: o que realmente significa</t>
        </is>
      </c>
      <c r="K38" s="5" t="n">
        <v>739</v>
      </c>
      <c r="L38" s="3" t="inlineStr">
        <is>
          <t>2026-08-30</t>
        </is>
      </c>
    </row>
    <row r="39">
      <c r="A39" s="2" t="inlineStr">
        <is>
          <t>Conteúdo — artigo</t>
        </is>
      </c>
      <c r="B39" s="3" t="inlineStr">
        <is>
          <t>Proteção</t>
        </is>
      </c>
      <c r="C39" s="4" t="inlineStr">
        <is>
          <t>https://towerepis.com.br/conhecimento/tipos-de-luva-qual-material-escolher/</t>
        </is>
      </c>
      <c r="D39" s="4" t="inlineStr">
        <is>
          <t>Tipos de luva de proteção: qual usar · Tower EPI's</t>
        </is>
      </c>
      <c r="E39" s="5" t="n">
        <v>50</v>
      </c>
      <c r="F39" s="5">
        <f>IF(E38=0,"sem title",IF(E38&gt;60,"longo",IF(E38&lt;30,"curto","ok")))</f>
        <v/>
      </c>
      <c r="G39" s="4" t="inlineStr">
        <is>
          <t>Nitrílica, látex, vinílica e neoprene comparadas por resistência, tato e modo de falha — e por que a escolha final depende do produto manuseado e do CA da luva.</t>
        </is>
      </c>
      <c r="H39" s="5" t="n">
        <v>160</v>
      </c>
      <c r="I39" s="5">
        <f>IF(H38=0,"sem description",IF(H38&gt;160,"longa",IF(H38&lt;120,"curta","ok")))</f>
        <v/>
      </c>
      <c r="J39" s="4" t="inlineStr">
        <is>
          <t>Nitrílica, látex, vinílica ou neoprene: qual luva usar</t>
        </is>
      </c>
      <c r="K39" s="5" t="n">
        <v>1117</v>
      </c>
      <c r="L39" s="3" t="inlineStr">
        <is>
          <t>2026-09-09</t>
        </is>
      </c>
    </row>
    <row r="40">
      <c r="A40" s="6" t="inlineStr">
        <is>
          <t>Conteúdo — hub</t>
        </is>
      </c>
      <c r="B40" s="7" t="inlineStr"/>
      <c r="C40" s="8" t="inlineStr">
        <is>
          <t>https://towerepis.com.br/conhecimento/</t>
        </is>
      </c>
      <c r="D40" s="8" t="inlineStr">
        <is>
          <t>Central de conhecimento sobre EPI · Tower EPI's</t>
        </is>
      </c>
      <c r="E40" s="9" t="n">
        <v>47</v>
      </c>
      <c r="F40" s="9">
        <f>IF(E39=0,"sem title",IF(E39&gt;60,"longo",IF(E39&lt;30,"curto","ok")))</f>
        <v/>
      </c>
      <c r="G40" s="8" t="inlineStr">
        <is>
          <t>Textos sobre calçados profissionais, normas, CA e escolha de EPI. Escritos e revisados por técnico de segurança do trabalho, com fonte oficial citada.</t>
        </is>
      </c>
      <c r="H40" s="9" t="n">
        <v>150</v>
      </c>
      <c r="I40" s="9">
        <f>IF(H39=0,"sem description",IF(H39&gt;160,"longa",IF(H39&lt;120,"curta","ok")))</f>
        <v/>
      </c>
      <c r="J40" s="8" t="inlineStr">
        <is>
          <t>Antes de comprar, entenda</t>
        </is>
      </c>
      <c r="K40" s="9" t="n">
        <v>1732</v>
      </c>
      <c r="L40" s="7" t="inlineStr"/>
    </row>
    <row r="41">
      <c r="A41" s="2" t="inlineStr">
        <is>
          <t>SEO comercial</t>
        </is>
      </c>
      <c r="B41" s="3" t="inlineStr"/>
      <c r="C41" s="4" t="inlineStr">
        <is>
          <t>https://towerepis.com.br/calcados/</t>
        </is>
      </c>
      <c r="D41" s="4" t="inlineStr">
        <is>
          <t>Calçado de segurança e ocupacional em Fortaleza</t>
        </is>
      </c>
      <c r="E41" s="5" t="n">
        <v>47</v>
      </c>
      <c r="F41" s="5">
        <f>IF(E40=0,"sem title",IF(E40&gt;60,"longo",IF(E40&lt;30,"curto","ok")))</f>
        <v/>
      </c>
      <c r="G41" s="4" t="inlineStr">
        <is>
          <t>Calçado de segurança com biqueira, ocupacional e antiderrapante em Fortaleza. Entenda a diferença com quem é técnico de segurança do trabalho.</t>
        </is>
      </c>
      <c r="H41" s="5" t="n">
        <v>142</v>
      </c>
      <c r="I41" s="5">
        <f>IF(H40=0,"sem description",IF(H40&gt;160,"longa",IF(H40&lt;120,"curta","ok")))</f>
        <v/>
      </c>
      <c r="J41" s="4" t="inlineStr">
        <is>
          <t>Calçados de segurança e ocupacionais</t>
        </is>
      </c>
      <c r="K41" s="5" t="n">
        <v>368</v>
      </c>
      <c r="L41" s="3" t="inlineStr"/>
    </row>
    <row r="42">
      <c r="A42" s="2" t="inlineStr">
        <is>
          <t>SEO comercial</t>
        </is>
      </c>
      <c r="B42" s="3" t="inlineStr"/>
      <c r="C42" s="4" t="inlineStr">
        <is>
          <t>https://towerepis.com.br/calcados/antiderrapantes/</t>
        </is>
      </c>
      <c r="D42" s="4" t="inlineStr">
        <is>
          <t>Sapato antiderrapante em Fortaleza · Tower EPI's</t>
        </is>
      </c>
      <c r="E42" s="5" t="n">
        <v>48</v>
      </c>
      <c r="F42" s="5">
        <f>IF(E41=0,"sem title",IF(E41&gt;60,"longo",IF(E41&lt;30,"curto","ok")))</f>
        <v/>
      </c>
      <c r="G42" s="4" t="inlineStr">
        <is>
          <t>Antiderrapante não é uma coisa só: o ensaio muda com o piso e o contaminante. Como ler a marcação, escolher para molhado ou oleoso e conferir o desgaste.</t>
        </is>
      </c>
      <c r="H42" s="5" t="n">
        <v>153</v>
      </c>
      <c r="I42" s="5">
        <f>IF(H41=0,"sem description",IF(H41&gt;160,"longa",IF(H41&lt;120,"curta","ok")))</f>
        <v/>
      </c>
      <c r="J42" s="4" t="inlineStr">
        <is>
          <t>Calçados antiderrapantes</t>
        </is>
      </c>
      <c r="K42" s="5" t="n">
        <v>478</v>
      </c>
      <c r="L42" s="3" t="inlineStr"/>
    </row>
    <row r="43">
      <c r="A43" s="2" t="inlineStr">
        <is>
          <t>SEO comercial</t>
        </is>
      </c>
      <c r="B43" s="3" t="inlineStr"/>
      <c r="C43" s="4" t="inlineStr">
        <is>
          <t>https://towerepis.com.br/calcados/comparativo/</t>
        </is>
      </c>
      <c r="D43" s="4" t="inlineStr">
        <is>
          <t>Ocupacional ou de segurança: qual é o seu caso · Tower EPI's</t>
        </is>
      </c>
      <c r="E43" s="5" t="n">
        <v>60</v>
      </c>
      <c r="F43" s="5">
        <f>IF(E42=0,"sem title",IF(E42&gt;60,"longo",IF(E42&lt;30,"curto","ok")))</f>
        <v/>
      </c>
      <c r="G43" s="4" t="inlineStr">
        <is>
          <t>Queda de objeto, tipo de piso e horas em pé: o que pesa na escolha entre os dois, o que a biqueira faz e o que ela não faz.</t>
        </is>
      </c>
      <c r="H43" s="5" t="n">
        <v>123</v>
      </c>
      <c r="I43" s="5">
        <f>IF(H42=0,"sem description",IF(H42&gt;160,"longa",IF(H42&lt;120,"curta","ok")))</f>
        <v/>
      </c>
      <c r="J43" s="4" t="inlineStr">
        <is>
          <t>Calçado ocupacional ou de segurança: qual é o seu caso?</t>
        </is>
      </c>
      <c r="K43" s="5" t="n">
        <v>894</v>
      </c>
      <c r="L43" s="3" t="inlineStr"/>
    </row>
    <row r="44">
      <c r="A44" s="2" t="inlineStr">
        <is>
          <t>SEO comercial</t>
        </is>
      </c>
      <c r="B44" s="3" t="inlineStr"/>
      <c r="C44" s="4" t="inlineStr">
        <is>
          <t>https://towerepis.com.br/calcados/ocupacionais/</t>
        </is>
      </c>
      <c r="D44" s="4" t="inlineStr">
        <is>
          <t>Calçados ocupacionais em Fortaleza · Tower EPI's</t>
        </is>
      </c>
      <c r="E44" s="5" t="n">
        <v>48</v>
      </c>
      <c r="F44" s="5">
        <f>IF(E43=0,"sem title",IF(E43&gt;60,"longo",IF(E43&lt;30,"curto","ok")))</f>
        <v/>
      </c>
      <c r="G44" s="4" t="inlineStr">
        <is>
          <t>Sem biqueira, para atividades sem risco de queda de objeto: cozinha, saúde, limpeza e serviços. O que observar no solado, na cobertura e na numeração.</t>
        </is>
      </c>
      <c r="H44" s="5" t="n">
        <v>150</v>
      </c>
      <c r="I44" s="5">
        <f>IF(H43=0,"sem description",IF(H43&gt;160,"longa",IF(H43&lt;120,"curta","ok")))</f>
        <v/>
      </c>
      <c r="J44" s="4" t="inlineStr">
        <is>
          <t>Calçados ocupacionais</t>
        </is>
      </c>
      <c r="K44" s="5" t="n">
        <v>477</v>
      </c>
      <c r="L44" s="3" t="inlineStr"/>
    </row>
    <row r="45">
      <c r="A45" s="2" t="inlineStr">
        <is>
          <t>SEO comercial</t>
        </is>
      </c>
      <c r="B45" s="3" t="inlineStr"/>
      <c r="C45" s="4" t="inlineStr">
        <is>
          <t>https://towerepis.com.br/calcados/seguranca/</t>
        </is>
      </c>
      <c r="D45" s="4" t="inlineStr">
        <is>
          <t>Calçados de segurança em Fortaleza · Tower EPI's</t>
        </is>
      </c>
      <c r="E45" s="5" t="n">
        <v>48</v>
      </c>
      <c r="F45" s="5">
        <f>IF(E44=0,"sem title",IF(E44&gt;60,"longo",IF(E44&lt;30,"curto","ok")))</f>
        <v/>
      </c>
      <c r="G45" s="4" t="inlineStr">
        <is>
          <t>Biqueira de aço ou composite, solado resistente e a classe certa para o piso. O que observar antes de definir a grade da equipe.</t>
        </is>
      </c>
      <c r="H45" s="5" t="n">
        <v>128</v>
      </c>
      <c r="I45" s="5">
        <f>IF(H44=0,"sem description",IF(H44&gt;160,"longa",IF(H44&lt;120,"curta","ok")))</f>
        <v/>
      </c>
      <c r="J45" s="4" t="inlineStr">
        <is>
          <t>Calçados de segurança</t>
        </is>
      </c>
      <c r="K45" s="5" t="n">
        <v>478</v>
      </c>
      <c r="L45" s="3" t="inlineStr"/>
    </row>
    <row r="46">
      <c r="A46" s="2" t="inlineStr">
        <is>
          <t>SEO comercial</t>
        </is>
      </c>
      <c r="B46" s="3" t="inlineStr"/>
      <c r="C46" s="4" t="inlineStr">
        <is>
          <t>https://towerepis.com.br/empresas/</t>
        </is>
      </c>
      <c r="D46" s="4" t="inlineStr">
        <is>
          <t>Fornecedor de EPI para empresas em Fortaleza</t>
        </is>
      </c>
      <c r="E46" s="5" t="n">
        <v>44</v>
      </c>
      <c r="F46" s="5">
        <f>IF(E45=0,"sem title",IF(E45&gt;60,"longo",IF(E45&lt;30,"curto","ok")))</f>
        <v/>
      </c>
      <c r="G46" s="4" t="inlineStr">
        <is>
          <t>Fornecimento para equipes em Fortaleza e no Ceará, com o CA de cada item no orçamento. Sem CNPJ para começar a conversa — quem responde é um dos dois sócios.</t>
        </is>
      </c>
      <c r="H46" s="5" t="n">
        <v>157</v>
      </c>
      <c r="I46" s="5">
        <f>IF(H45=0,"sem description",IF(H45&gt;160,"longa",IF(H45&lt;120,"curta","ok")))</f>
        <v/>
      </c>
      <c r="J46" s="4" t="inlineStr">
        <is>
          <t>EPI para a sua equipe, escolhido pela atividade</t>
        </is>
      </c>
      <c r="K46" s="5" t="n">
        <v>566</v>
      </c>
      <c r="L46" s="3" t="inlineStr"/>
    </row>
    <row r="47">
      <c r="A47" s="2" t="inlineStr">
        <is>
          <t>SEO comercial</t>
        </is>
      </c>
      <c r="B47" s="3" t="inlineStr"/>
      <c r="C47" s="4" t="inlineStr">
        <is>
          <t>https://towerepis.com.br/empresas/alimentacao/</t>
        </is>
      </c>
      <c r="D47" s="4" t="inlineStr">
        <is>
          <t>EPI para restaurantes e cozinhas em Fortaleza</t>
        </is>
      </c>
      <c r="E47" s="5" t="n">
        <v>45</v>
      </c>
      <c r="F47" s="5">
        <f>IF(E46=0,"sem title",IF(E46&gt;60,"longo",IF(E46&lt;30,"curto","ok")))</f>
        <v/>
      </c>
      <c r="G47" s="4" t="inlineStr">
        <is>
          <t>Calçado antiderrapante, luva e proteção para equipes de cozinha. Orçamento com o CA de cada item, grade de numeração e entrega em Fortaleza.</t>
        </is>
      </c>
      <c r="H47" s="5" t="n">
        <v>140</v>
      </c>
      <c r="I47" s="5">
        <f>IF(H46=0,"sem description",IF(H46&gt;160,"longa",IF(H46&lt;120,"curta","ok")))</f>
        <v/>
      </c>
      <c r="J47" s="4" t="inlineStr">
        <is>
          <t>EPI para equipes de cozinha e alimentação</t>
        </is>
      </c>
      <c r="K47" s="5" t="n">
        <v>804</v>
      </c>
      <c r="L47" s="3" t="inlineStr"/>
    </row>
    <row r="48">
      <c r="A48" s="2" t="inlineStr">
        <is>
          <t>SEO comercial</t>
        </is>
      </c>
      <c r="B48" s="3" t="inlineStr"/>
      <c r="C48" s="4" t="inlineStr">
        <is>
          <t>https://towerepis.com.br/empresas/como-atendemos/</t>
        </is>
      </c>
      <c r="D48" s="4" t="inlineStr">
        <is>
          <t>Como funciona o fornecimento para empresas · Tower EPI's</t>
        </is>
      </c>
      <c r="E48" s="5" t="n">
        <v>56</v>
      </c>
      <c r="F48" s="5">
        <f>IF(E47=0,"sem title",IF(E47&gt;60,"longo",IF(E47&lt;30,"curto","ok")))</f>
        <v/>
      </c>
      <c r="G48" s="4" t="inlineStr">
        <is>
          <t>Você conta o que a equipe faz, a gente confere o que é adequado e o orçamento sai com o CA de cada item. Prazo combinado antes de fechar, reposição simples.</t>
        </is>
      </c>
      <c r="H48" s="5" t="n">
        <v>156</v>
      </c>
      <c r="I48" s="5">
        <f>IF(H47=0,"sem description",IF(H47&gt;160,"longa",IF(H47&lt;120,"curta","ok")))</f>
        <v/>
      </c>
      <c r="J48" s="4" t="inlineStr">
        <is>
          <t>Como a gente atende</t>
        </is>
      </c>
      <c r="K48" s="5" t="n">
        <v>526</v>
      </c>
      <c r="L48" s="3" t="inlineStr"/>
    </row>
    <row r="49">
      <c r="A49" s="2" t="inlineStr">
        <is>
          <t>SEO comercial</t>
        </is>
      </c>
      <c r="B49" s="3" t="inlineStr"/>
      <c r="C49" s="4" t="inlineStr">
        <is>
          <t>https://towerepis.com.br/empresas/construcao/</t>
        </is>
      </c>
      <c r="D49" s="4" t="inlineStr">
        <is>
          <t>Fornecedor de EPI para obras em Fortaleza</t>
        </is>
      </c>
      <c r="E49" s="5" t="n">
        <v>41</v>
      </c>
      <c r="F49" s="5">
        <f>IF(E48=0,"sem title",IF(E48&gt;60,"longo",IF(E48&lt;30,"curto","ok")))</f>
        <v/>
      </c>
      <c r="G49" s="4" t="inlineStr">
        <is>
          <t>Calçado com biqueira, capacete, luva e proteção respiratória para obra. Orçamento com o CA de cada item, entrega em Fortaleza e reposição sem recomeçar.</t>
        </is>
      </c>
      <c r="H49" s="5" t="n">
        <v>152</v>
      </c>
      <c r="I49" s="5">
        <f>IF(H48=0,"sem description",IF(H48&gt;160,"longa",IF(H48&lt;120,"curta","ok")))</f>
        <v/>
      </c>
      <c r="J49" s="4" t="inlineStr">
        <is>
          <t>EPI para equipes de obra</t>
        </is>
      </c>
      <c r="K49" s="5" t="n">
        <v>751</v>
      </c>
      <c r="L49" s="3" t="inlineStr"/>
    </row>
    <row r="50">
      <c r="A50" s="2" t="inlineStr">
        <is>
          <t>SEO comercial</t>
        </is>
      </c>
      <c r="B50" s="3" t="inlineStr"/>
      <c r="C50" s="4" t="inlineStr">
        <is>
          <t>https://towerepis.com.br/empresas/facilities-e-limpeza/</t>
        </is>
      </c>
      <c r="D50" s="4" t="inlineStr">
        <is>
          <t>EPI para empresas de limpeza em Fortaleza</t>
        </is>
      </c>
      <c r="E50" s="5" t="n">
        <v>41</v>
      </c>
      <c r="F50" s="5">
        <f>IF(E49=0,"sem title",IF(E49&gt;60,"longo",IF(E49&lt;30,"curto","ok")))</f>
        <v/>
      </c>
      <c r="G50" s="4" t="inlineStr">
        <is>
          <t>Luva adequada ao produto, calçado antiderrapante e proteção para os olhos. Orçamento com o CA de cada item e entrega para empresas de limpeza em Fortaleza.</t>
        </is>
      </c>
      <c r="H50" s="5" t="n">
        <v>155</v>
      </c>
      <c r="I50" s="5">
        <f>IF(H49=0,"sem description",IF(H49&gt;160,"longa",IF(H49&lt;120,"curta","ok")))</f>
        <v/>
      </c>
      <c r="J50" s="4" t="inlineStr">
        <is>
          <t>EPI para equipes de limpeza e conservação</t>
        </is>
      </c>
      <c r="K50" s="5" t="n">
        <v>732</v>
      </c>
      <c r="L50" s="3" t="inlineStr"/>
    </row>
    <row r="51">
      <c r="A51" s="2" t="inlineStr">
        <is>
          <t>SEO comercial</t>
        </is>
      </c>
      <c r="B51" s="3" t="inlineStr"/>
      <c r="C51" s="4" t="inlineStr">
        <is>
          <t>https://towerepis.com.br/empresas/industria/</t>
        </is>
      </c>
      <c r="D51" s="4" t="inlineStr">
        <is>
          <t>Fornecedor de EPI para indústria em Fortaleza</t>
        </is>
      </c>
      <c r="E51" s="5" t="n">
        <v>45</v>
      </c>
      <c r="F51" s="5">
        <f>IF(E50=0,"sem title",IF(E50&gt;60,"longo",IF(E50&lt;30,"curto","ok")))</f>
        <v/>
      </c>
      <c r="G51" s="4" t="inlineStr">
        <is>
          <t>Proteção auditiva, respiratória, calçado e luva definidos por posto de trabalho. Orçamento com o CA de cada item, entrega no Ceará e reposição sem recomeçar.</t>
        </is>
      </c>
      <c r="H51" s="5" t="n">
        <v>157</v>
      </c>
      <c r="I51" s="5">
        <f>IF(H50=0,"sem description",IF(H50&gt;160,"longa",IF(H50&lt;120,"curta","ok")))</f>
        <v/>
      </c>
      <c r="J51" s="4" t="inlineStr">
        <is>
          <t>EPI para indústria, por posto de trabalho</t>
        </is>
      </c>
      <c r="K51" s="5" t="n">
        <v>768</v>
      </c>
      <c r="L51" s="3" t="inlineStr"/>
    </row>
    <row r="52">
      <c r="A52" s="2" t="inlineStr">
        <is>
          <t>SEO comercial</t>
        </is>
      </c>
      <c r="B52" s="3" t="inlineStr"/>
      <c r="C52" s="4" t="inlineStr">
        <is>
          <t>https://towerepis.com.br/empresas/saude/</t>
        </is>
      </c>
      <c r="D52" s="4" t="inlineStr">
        <is>
          <t>EPI para clínicas e hospitais em Fortaleza</t>
        </is>
      </c>
      <c r="E52" s="5" t="n">
        <v>42</v>
      </c>
      <c r="F52" s="5">
        <f>IF(E51=0,"sem title",IF(E51&gt;60,"longo",IF(E51&lt;30,"curto","ok")))</f>
        <v/>
      </c>
      <c r="G52" s="4" t="inlineStr">
        <is>
          <t>Calçado ocupacional fechado, luva e proteção respiratória para equipes de saúde. Orçamento com o CA de cada item e entrega em Fortaleza e região.</t>
        </is>
      </c>
      <c r="H52" s="5" t="n">
        <v>145</v>
      </c>
      <c r="I52" s="5">
        <f>IF(H51=0,"sem description",IF(H51&gt;160,"longa",IF(H51&lt;120,"curta","ok")))</f>
        <v/>
      </c>
      <c r="J52" s="4" t="inlineStr">
        <is>
          <t>EPI para equipes da área da saúde</t>
        </is>
      </c>
      <c r="K52" s="5" t="n">
        <v>723</v>
      </c>
      <c r="L52" s="3" t="inlineStr"/>
    </row>
    <row r="53">
      <c r="A53" s="2" t="inlineStr">
        <is>
          <t>SEO comercial</t>
        </is>
      </c>
      <c r="B53" s="3" t="inlineStr"/>
      <c r="C53" s="4" t="inlineStr">
        <is>
          <t>https://towerepis.com.br/marcas/</t>
        </is>
      </c>
      <c r="D53" s="4" t="inlineStr">
        <is>
          <t>Marcas de EPI que a Tower trabalha</t>
        </is>
      </c>
      <c r="E53" s="5" t="n">
        <v>34</v>
      </c>
      <c r="F53" s="5">
        <f>IF(E52=0,"sem title",IF(E52&gt;60,"longo",IF(E52&lt;30,"curto","ok")))</f>
        <v/>
      </c>
      <c r="G53" s="4" t="inlineStr">
        <is>
          <t>A Bompel é a principal parceria em calçado profissional. Também Sticky Shoes e, com disponibilidade sob consulta, a 3M — a marca com que a Tower nasceu.</t>
        </is>
      </c>
      <c r="H53" s="5" t="n">
        <v>152</v>
      </c>
      <c r="I53" s="5">
        <f>IF(H52=0,"sem description",IF(H52&gt;160,"longa",IF(H52&lt;120,"curta","ok")))</f>
        <v/>
      </c>
      <c r="J53" s="4" t="inlineStr">
        <is>
          <t>Com quem a gente trabalha</t>
        </is>
      </c>
      <c r="K53" s="5" t="n">
        <v>297</v>
      </c>
      <c r="L53" s="3" t="inlineStr"/>
    </row>
    <row r="54">
      <c r="A54" s="2" t="inlineStr">
        <is>
          <t>SEO comercial</t>
        </is>
      </c>
      <c r="B54" s="3" t="inlineStr"/>
      <c r="C54" s="4" t="inlineStr">
        <is>
          <t>https://towerepis.com.br/marcas/3m/</t>
        </is>
      </c>
      <c r="D54" s="4" t="inlineStr">
        <is>
          <t>A 3M e a origem da Tower, em 1995</t>
        </is>
      </c>
      <c r="E54" s="5" t="n">
        <v>33</v>
      </c>
      <c r="F54" s="5">
        <f>IF(E53=0,"sem title",IF(E53&gt;60,"longo",IF(E53&lt;30,"curto","ok")))</f>
        <v/>
      </c>
      <c r="G54" s="4" t="inlineStr">
        <is>
          <t>A Tower nasceu de um convite da 3M para desenvolver o mercado de proteção no Ceará. Hoje a linha tem disponibilidade sob consulta — a história continua aqui.</t>
        </is>
      </c>
      <c r="H54" s="5" t="n">
        <v>157</v>
      </c>
      <c r="I54" s="5">
        <f>IF(H53=0,"sem description",IF(H53&gt;160,"longa",IF(H53&lt;120,"curta","ok")))</f>
        <v/>
      </c>
      <c r="J54" s="4" t="inlineStr">
        <is>
          <t>A relação com a 3M começou antes da Tower existir</t>
        </is>
      </c>
      <c r="K54" s="5" t="n">
        <v>393</v>
      </c>
      <c r="L54" s="3" t="inlineStr"/>
    </row>
    <row r="55">
      <c r="A55" s="2" t="inlineStr">
        <is>
          <t>SEO comercial</t>
        </is>
      </c>
      <c r="B55" s="3" t="inlineStr"/>
      <c r="C55" s="4" t="inlineStr">
        <is>
          <t>https://towerepis.com.br/marcas/bompel/</t>
        </is>
      </c>
      <c r="D55" s="4" t="inlineStr">
        <is>
          <t>Bompel: a linha que a Tower mais atende</t>
        </is>
      </c>
      <c r="E55" s="5" t="n">
        <v>39</v>
      </c>
      <c r="F55" s="5">
        <f>IF(E54=0,"sem title",IF(E54&gt;60,"longo",IF(E54&lt;30,"curto","ok")))</f>
        <v/>
      </c>
      <c r="G55" s="4" t="inlineStr">
        <is>
          <t>A Bompel é hoje a principal parceria da Tower em calçado profissional. Veja o que a linha cobre, o que observar na escolha e como pedir.</t>
        </is>
      </c>
      <c r="H55" s="5" t="n">
        <v>136</v>
      </c>
      <c r="I55" s="5">
        <f>IF(H54=0,"sem description",IF(H54&gt;160,"longa",IF(H54&lt;120,"curta","ok")))</f>
        <v/>
      </c>
      <c r="J55" s="4" t="inlineStr">
        <is>
          <t>Bompel: a linha que mais atendemos hoje</t>
        </is>
      </c>
      <c r="K55" s="5" t="n">
        <v>923</v>
      </c>
      <c r="L55" s="3" t="inlineStr"/>
    </row>
    <row r="56">
      <c r="A56" s="2" t="inlineStr">
        <is>
          <t>SEO comercial</t>
        </is>
      </c>
      <c r="B56" s="3" t="inlineStr"/>
      <c r="C56" s="4" t="inlineStr">
        <is>
          <t>https://towerepis.com.br/marcas/sticky-shoes/</t>
        </is>
      </c>
      <c r="D56" s="4" t="inlineStr">
        <is>
          <t>Sticky Shoes: calçado ocupacional impermeável</t>
        </is>
      </c>
      <c r="E56" s="5" t="n">
        <v>45</v>
      </c>
      <c r="F56" s="5">
        <f>IF(E55=0,"sem title",IF(E55&gt;60,"longo",IF(E55&lt;30,"curto","ok")))</f>
        <v/>
      </c>
      <c r="G56" s="4" t="inlineStr">
        <is>
          <t>Marca de calçado ocupacional impermeável, com solado antiderrapante e linha branca, usada em cozinha, alimentação e saúde. Veja se é a sua categoria.</t>
        </is>
      </c>
      <c r="H56" s="5" t="n">
        <v>149</v>
      </c>
      <c r="I56" s="5">
        <f>IF(H55=0,"sem description",IF(H55&gt;160,"longa",IF(H55&lt;120,"curta","ok")))</f>
        <v/>
      </c>
      <c r="J56" s="4" t="inlineStr">
        <is>
          <t>Sticky Shoes: o calçado de quem trabalha no molhado</t>
        </is>
      </c>
      <c r="K56" s="5" t="n">
        <v>875</v>
      </c>
      <c r="L56" s="3" t="inlineStr"/>
    </row>
    <row r="57">
      <c r="A57" s="2" t="inlineStr">
        <is>
          <t>SEO comercial</t>
        </is>
      </c>
      <c r="B57" s="3" t="inlineStr"/>
      <c r="C57" s="4" t="inlineStr">
        <is>
          <t>https://towerepis.com.br/para-seu-trabalho/</t>
        </is>
      </c>
      <c r="D57" s="4" t="inlineStr">
        <is>
          <t>EPI por profissão em Fortaleza · Tower EPI's</t>
        </is>
      </c>
      <c r="E57" s="5" t="n">
        <v>44</v>
      </c>
      <c r="F57" s="5">
        <f>IF(E56=0,"sem title",IF(E56&gt;60,"longo",IF(E56&lt;30,"curto","ok")))</f>
        <v/>
      </c>
      <c r="G57" s="4" t="inlineStr">
        <is>
          <t>Cozinha, enfermagem, limpeza, construção, indústria, logística e manutenção. O que observar na escolha do EPI para cada rotina, e por onde começar.</t>
        </is>
      </c>
      <c r="H57" s="5" t="n">
        <v>147</v>
      </c>
      <c r="I57" s="5">
        <f>IF(H56=0,"sem description",IF(H56&gt;160,"longa",IF(H56&lt;120,"curta","ok")))</f>
        <v/>
      </c>
      <c r="J57" s="4" t="inlineStr">
        <is>
          <t>Comece pelo que você faz</t>
        </is>
      </c>
      <c r="K57" s="5" t="n">
        <v>584</v>
      </c>
      <c r="L57" s="3" t="inlineStr"/>
    </row>
    <row r="58">
      <c r="A58" s="2" t="inlineStr">
        <is>
          <t>SEO comercial</t>
        </is>
      </c>
      <c r="B58" s="3" t="inlineStr"/>
      <c r="C58" s="4" t="inlineStr">
        <is>
          <t>https://towerepis.com.br/para-seu-trabalho/construcao/</t>
        </is>
      </c>
      <c r="D58" s="4" t="inlineStr">
        <is>
          <t>EPI para construção civil: o que a obra exige · Tower EPI's</t>
        </is>
      </c>
      <c r="E58" s="5" t="n">
        <v>59</v>
      </c>
      <c r="F58" s="5">
        <f>IF(E57=0,"sem title",IF(E57&gt;60,"longo",IF(E57&lt;30,"curto","ok")))</f>
        <v/>
      </c>
      <c r="G58" s="4" t="inlineStr">
        <is>
          <t>Calçado com biqueira, capacete, luva e proteção para poeira. O que muda entre alvenaria, acabamento e estrutura — com técnico de segurança, em Fortaleza.</t>
        </is>
      </c>
      <c r="H58" s="5" t="n">
        <v>153</v>
      </c>
      <c r="I58" s="5">
        <f>IF(H57=0,"sem description",IF(H57&gt;160,"longa",IF(H57&lt;120,"curta","ok")))</f>
        <v/>
      </c>
      <c r="J58" s="4" t="inlineStr">
        <is>
          <t>Proteção para quem trabalha na construção</t>
        </is>
      </c>
      <c r="K58" s="5" t="n">
        <v>672</v>
      </c>
      <c r="L58" s="3" t="inlineStr"/>
    </row>
    <row r="59">
      <c r="A59" s="2" t="inlineStr">
        <is>
          <t>SEO comercial</t>
        </is>
      </c>
      <c r="B59" s="3" t="inlineStr"/>
      <c r="C59" s="4" t="inlineStr">
        <is>
          <t>https://towerepis.com.br/para-seu-trabalho/cozinha/</t>
        </is>
      </c>
      <c r="D59" s="4" t="inlineStr">
        <is>
          <t>Calçado para cozinha: como escolher · Tower EPI's</t>
        </is>
      </c>
      <c r="E59" s="5" t="n">
        <v>49</v>
      </c>
      <c r="F59" s="5">
        <f>IF(E58=0,"sem title",IF(E58&gt;60,"longo",IF(E58&lt;30,"curto","ok")))</f>
        <v/>
      </c>
      <c r="G59" s="4" t="inlineStr">
        <is>
          <t>Piso molhado, gordura e jornada em pé. O que observar no solado e na cobertura do pé. E por que a biqueira quase nunca é necessária. Fortaleza e região.</t>
        </is>
      </c>
      <c r="H59" s="5" t="n">
        <v>152</v>
      </c>
      <c r="I59" s="5">
        <f>IF(H58=0,"sem description",IF(H58&gt;160,"longa",IF(H58&lt;120,"curta","ok")))</f>
        <v/>
      </c>
      <c r="J59" s="4" t="inlineStr">
        <is>
          <t>Calçado para quem trabalha em cozinha</t>
        </is>
      </c>
      <c r="K59" s="5" t="n">
        <v>781</v>
      </c>
      <c r="L59" s="3" t="inlineStr"/>
    </row>
    <row r="60">
      <c r="A60" s="2" t="inlineStr">
        <is>
          <t>SEO comercial</t>
        </is>
      </c>
      <c r="B60" s="3" t="inlineStr"/>
      <c r="C60" s="4" t="inlineStr">
        <is>
          <t>https://towerepis.com.br/para-seu-trabalho/enfermagem-e-saude/</t>
        </is>
      </c>
      <c r="D60" s="4" t="inlineStr">
        <is>
          <t>Calçado e EPI para enfermagem e área da saúde · Tower EPI's</t>
        </is>
      </c>
      <c r="E60" s="5" t="n">
        <v>59</v>
      </c>
      <c r="F60" s="5">
        <f>IF(E59=0,"sem title",IF(E59&gt;60,"longo",IF(E59&lt;30,"curto","ok")))</f>
        <v/>
      </c>
      <c r="G60" s="4" t="inlineStr">
        <is>
          <t>Plantão longo, piso liso e respingo. Por que modelo aberto em cima não serve e o que o material precisa permitir. Calçado e EPI para saúde em Fortaleza.</t>
        </is>
      </c>
      <c r="H60" s="5" t="n">
        <v>152</v>
      </c>
      <c r="I60" s="5">
        <f>IF(H59=0,"sem description",IF(H59&gt;160,"longa",IF(H59&lt;120,"curta","ok")))</f>
        <v/>
      </c>
      <c r="J60" s="4" t="inlineStr">
        <is>
          <t>Proteção para quem trabalha na saúde</t>
        </is>
      </c>
      <c r="K60" s="5" t="n">
        <v>606</v>
      </c>
      <c r="L60" s="3" t="inlineStr"/>
    </row>
    <row r="61">
      <c r="A61" s="2" t="inlineStr">
        <is>
          <t>SEO comercial</t>
        </is>
      </c>
      <c r="B61" s="3" t="inlineStr"/>
      <c r="C61" s="4" t="inlineStr">
        <is>
          <t>https://towerepis.com.br/para-seu-trabalho/industria/</t>
        </is>
      </c>
      <c r="D61" s="4" t="inlineStr">
        <is>
          <t>EPI para indústria: o que observar na escolha · Tower EPI's</t>
        </is>
      </c>
      <c r="E61" s="5" t="n">
        <v>59</v>
      </c>
      <c r="F61" s="5">
        <f>IF(E60=0,"sem title",IF(E60&gt;60,"longo",IF(E60&lt;30,"curto","ok")))</f>
        <v/>
      </c>
      <c r="G61" s="4" t="inlineStr">
        <is>
          <t>Proteção auditiva, respiratória, calçado e luva conforme o processo. Por que o respirador depende do agente e o que decide entre plug e concha. Fortaleza.</t>
        </is>
      </c>
      <c r="H61" s="5" t="n">
        <v>154</v>
      </c>
      <c r="I61" s="5">
        <f>IF(H60=0,"sem description",IF(H60&gt;160,"longa",IF(H60&lt;120,"curta","ok")))</f>
        <v/>
      </c>
      <c r="J61" s="4" t="inlineStr">
        <is>
          <t>Proteção para quem trabalha na indústria</t>
        </is>
      </c>
      <c r="K61" s="5" t="n">
        <v>604</v>
      </c>
      <c r="L61" s="3" t="inlineStr"/>
    </row>
    <row r="62">
      <c r="A62" s="2" t="inlineStr">
        <is>
          <t>SEO comercial</t>
        </is>
      </c>
      <c r="B62" s="3" t="inlineStr"/>
      <c r="C62" s="4" t="inlineStr">
        <is>
          <t>https://towerepis.com.br/para-seu-trabalho/limpeza-e-conservacao/</t>
        </is>
      </c>
      <c r="D62" s="4" t="inlineStr">
        <is>
          <t>EPI para limpeza e conservação: o que observar · Tower EPI's</t>
        </is>
      </c>
      <c r="E62" s="5" t="n">
        <v>60</v>
      </c>
      <c r="F62" s="5">
        <f>IF(E61=0,"sem title",IF(E61&gt;60,"longo",IF(E61&lt;30,"curto","ok")))</f>
        <v/>
      </c>
      <c r="G62" s="4" t="inlineStr">
        <is>
          <t>A luva muda conforme o produto químico. O que observar na luva, no calçado antiderrapante e nos óculos. Para quem trabalha com limpeza em Fortaleza.</t>
        </is>
      </c>
      <c r="H62" s="5" t="n">
        <v>148</v>
      </c>
      <c r="I62" s="5">
        <f>IF(H61=0,"sem description",IF(H61&gt;160,"longa",IF(H61&lt;120,"curta","ok")))</f>
        <v/>
      </c>
      <c r="J62" s="4" t="inlineStr">
        <is>
          <t>Proteção para quem trabalha com limpeza e conservação</t>
        </is>
      </c>
      <c r="K62" s="5" t="n">
        <v>566</v>
      </c>
      <c r="L62" s="3" t="inlineStr"/>
    </row>
    <row r="63">
      <c r="A63" s="2" t="inlineStr">
        <is>
          <t>SEO comercial</t>
        </is>
      </c>
      <c r="B63" s="3" t="inlineStr"/>
      <c r="C63" s="4" t="inlineStr">
        <is>
          <t>https://towerepis.com.br/para-seu-trabalho/logistica-e-estoque/</t>
        </is>
      </c>
      <c r="D63" s="4" t="inlineStr">
        <is>
          <t>EPI para logística e estoque: o que observar · Tower EPI's</t>
        </is>
      </c>
      <c r="E63" s="5" t="n">
        <v>58</v>
      </c>
      <c r="F63" s="5">
        <f>IF(E62=0,"sem title",IF(E62&gt;60,"longo",IF(E62&lt;30,"curto","ok")))</f>
        <v/>
      </c>
      <c r="G63" s="4" t="inlineStr">
        <is>
          <t>Queda de caixa e prensagem pedem biqueira; quilômetros por dia pedem conforto. O que observar no calçado e na luva de manuseio. Logística em Fortaleza.</t>
        </is>
      </c>
      <c r="H63" s="5" t="n">
        <v>151</v>
      </c>
      <c r="I63" s="5">
        <f>IF(H62=0,"sem description",IF(H62&gt;160,"longa",IF(H62&lt;120,"curta","ok")))</f>
        <v/>
      </c>
      <c r="J63" s="4" t="inlineStr">
        <is>
          <t>Proteção para quem trabalha com logística e estoque</t>
        </is>
      </c>
      <c r="K63" s="5" t="n">
        <v>503</v>
      </c>
      <c r="L63" s="3" t="inlineStr"/>
    </row>
    <row r="64">
      <c r="A64" s="2" t="inlineStr">
        <is>
          <t>SEO comercial</t>
        </is>
      </c>
      <c r="B64" s="3" t="inlineStr"/>
      <c r="C64" s="4" t="inlineStr">
        <is>
          <t>https://towerepis.com.br/para-seu-trabalho/manutencao/</t>
        </is>
      </c>
      <c r="D64" s="4" t="inlineStr">
        <is>
          <t>EPI para manutenção: o que observar · Tower EPI's</t>
        </is>
      </c>
      <c r="E64" s="5" t="n">
        <v>49</v>
      </c>
      <c r="F64" s="5">
        <f>IF(E63=0,"sem title",IF(E63&gt;60,"longo",IF(E63&lt;30,"curto","ok")))</f>
        <v/>
      </c>
      <c r="G64" s="4" t="inlineStr">
        <is>
          <t>Elétrica, altura, piso variado: cada chamado muda o risco. O que observar para montar um conjunto que cubra a rotina inteira. Manutenção em Fortaleza.</t>
        </is>
      </c>
      <c r="H64" s="5" t="n">
        <v>150</v>
      </c>
      <c r="I64" s="5">
        <f>IF(H63=0,"sem description",IF(H63&gt;160,"longa",IF(H63&lt;120,"curta","ok")))</f>
        <v/>
      </c>
      <c r="J64" s="4" t="inlineStr">
        <is>
          <t>Proteção para quem trabalha com manutenção</t>
        </is>
      </c>
      <c r="K64" s="5" t="n">
        <v>524</v>
      </c>
      <c r="L64" s="3" t="inlineStr"/>
    </row>
    <row r="65">
      <c r="A65" s="2" t="inlineStr">
        <is>
          <t>SEO comercial</t>
        </is>
      </c>
      <c r="B65" s="3" t="inlineStr"/>
      <c r="C65" s="4" t="inlineStr">
        <is>
          <t>https://towerepis.com.br/protecao/</t>
        </is>
      </c>
      <c r="D65" s="4" t="inlineStr">
        <is>
          <t>EPI por parte do corpo: o que cada um protege · Tower EPI's</t>
        </is>
      </c>
      <c r="E65" s="5" t="n">
        <v>59</v>
      </c>
      <c r="F65" s="5">
        <f>IF(E64=0,"sem title",IF(E64&gt;60,"longo",IF(E64&lt;30,"curto","ok")))</f>
        <v/>
      </c>
      <c r="G65" s="4" t="inlineStr">
        <is>
          <t>Respiração, mãos, audição, olhos, cabeça, corpo e pés. O que observar em cada categoria antes de escolher, com critério de técnico de segurança do trabalho.</t>
        </is>
      </c>
      <c r="H65" s="5" t="n">
        <v>156</v>
      </c>
      <c r="I65" s="5">
        <f>IF(H64=0,"sem description",IF(H64&gt;160,"longa",IF(H64&lt;120,"curta","ok")))</f>
        <v/>
      </c>
      <c r="J65" s="4" t="inlineStr">
        <is>
          <t>O que você precisa proteger?</t>
        </is>
      </c>
      <c r="K65" s="5" t="n">
        <v>778</v>
      </c>
      <c r="L65" s="3" t="inlineStr"/>
    </row>
    <row r="66">
      <c r="A66" s="2" t="inlineStr">
        <is>
          <t>SEO comercial</t>
        </is>
      </c>
      <c r="B66" s="3" t="inlineStr"/>
      <c r="C66" s="4" t="inlineStr">
        <is>
          <t>https://towerepis.com.br/protecao/auditiva/</t>
        </is>
      </c>
      <c r="D66" s="4" t="inlineStr">
        <is>
          <t>Proteção auditiva: plug ou concha? · Tower EPI's</t>
        </is>
      </c>
      <c r="E66" s="5" t="n">
        <v>48</v>
      </c>
      <c r="F66" s="5">
        <f>IF(E65=0,"sem title",IF(E65&gt;60,"longo",IF(E65&lt;30,"curto","ok")))</f>
        <v/>
      </c>
      <c r="G66" s="4" t="inlineStr">
        <is>
          <t>Plug ou concha: depende de quanto tempo fica no ouvido e de como se combina com outros EPIs. O que a atenuação do CA diz, e o que ela não diz.</t>
        </is>
      </c>
      <c r="H66" s="5" t="n">
        <v>142</v>
      </c>
      <c r="I66" s="5">
        <f>IF(H65=0,"sem description",IF(H65&gt;160,"longa",IF(H65&lt;120,"curta","ok")))</f>
        <v/>
      </c>
      <c r="J66" s="4" t="inlineStr">
        <is>
          <t>Proteção auditiva</t>
        </is>
      </c>
      <c r="K66" s="5" t="n">
        <v>436</v>
      </c>
      <c r="L66" s="3" t="inlineStr"/>
    </row>
    <row r="67">
      <c r="A67" s="2" t="inlineStr">
        <is>
          <t>SEO comercial</t>
        </is>
      </c>
      <c r="B67" s="3" t="inlineStr"/>
      <c r="C67" s="4" t="inlineStr">
        <is>
          <t>https://towerepis.com.br/protecao/cabeca/</t>
        </is>
      </c>
      <c r="D67" s="4" t="inlineStr">
        <is>
          <t>Capacete de segurança: classes e uso · Tower EPI's</t>
        </is>
      </c>
      <c r="E67" s="5" t="n">
        <v>50</v>
      </c>
      <c r="F67" s="5">
        <f>IF(E66=0,"sem title",IF(E66&gt;60,"longo",IF(E66&lt;30,"curto","ok")))</f>
        <v/>
      </c>
      <c r="G67" s="4" t="inlineStr">
        <is>
          <t>Classes de capacete, o que a suspensão interna faz, e o que conferir no Certificado de Aprovação para trabalho em altura e proximidade elétrica.</t>
        </is>
      </c>
      <c r="H67" s="5" t="n">
        <v>144</v>
      </c>
      <c r="I67" s="5">
        <f>IF(H66=0,"sem description",IF(H66&gt;160,"longa",IF(H66&lt;120,"curta","ok")))</f>
        <v/>
      </c>
      <c r="J67" s="4" t="inlineStr">
        <is>
          <t>Proteção da cabeça</t>
        </is>
      </c>
      <c r="K67" s="5" t="n">
        <v>376</v>
      </c>
      <c r="L67" s="3" t="inlineStr"/>
    </row>
    <row r="68">
      <c r="A68" s="2" t="inlineStr">
        <is>
          <t>SEO comercial</t>
        </is>
      </c>
      <c r="B68" s="3" t="inlineStr"/>
      <c r="C68" s="4" t="inlineStr">
        <is>
          <t>https://towerepis.com.br/protecao/corpo/</t>
        </is>
      </c>
      <c r="D68" s="4" t="inlineStr">
        <is>
          <t>Vestimentas de proteção e alta visibilidade · Tower EPI's</t>
        </is>
      </c>
      <c r="E68" s="5" t="n">
        <v>57</v>
      </c>
      <c r="F68" s="5">
        <f>IF(E67=0,"sem title",IF(E67&gt;60,"longo",IF(E67&lt;30,"curto","ok")))</f>
        <v/>
      </c>
      <c r="G68" s="4" t="inlineStr">
        <is>
          <t>Avental, macacão e alta visibilidade: o que muda com respingo, calor e circulação de empilhadeira. Como escolher sem sacrificar o conforto no clima quente.</t>
        </is>
      </c>
      <c r="H68" s="5" t="n">
        <v>155</v>
      </c>
      <c r="I68" s="5">
        <f>IF(H67=0,"sem description",IF(H67&gt;160,"longa",IF(H67&lt;120,"curta","ok")))</f>
        <v/>
      </c>
      <c r="J68" s="4" t="inlineStr">
        <is>
          <t>Vestimentas de proteção</t>
        </is>
      </c>
      <c r="K68" s="5" t="n">
        <v>384</v>
      </c>
      <c r="L68" s="3" t="inlineStr"/>
    </row>
    <row r="69">
      <c r="A69" s="2" t="inlineStr">
        <is>
          <t>SEO comercial</t>
        </is>
      </c>
      <c r="B69" s="3" t="inlineStr"/>
      <c r="C69" s="4" t="inlineStr">
        <is>
          <t>https://towerepis.com.br/protecao/maos/</t>
        </is>
      </c>
      <c r="D69" s="4" t="inlineStr">
        <is>
          <t>Luvas de proteção: como escolher pelo risco · Tower EPI's</t>
        </is>
      </c>
      <c r="E69" s="5" t="n">
        <v>57</v>
      </c>
      <c r="F69" s="5">
        <f>IF(E68=0,"sem title",IF(E68&gt;60,"longo",IF(E68&lt;30,"curto","ok")))</f>
        <v/>
      </c>
      <c r="G69" s="4" t="inlineStr">
        <is>
          <t>Corte, produto químico, calor e abrasão pedem luvas diferentes. Como ler o risco antes de escolher. E por que luva que escorrega ou aperta acaba fora da mão.</t>
        </is>
      </c>
      <c r="H69" s="5" t="n">
        <v>157</v>
      </c>
      <c r="I69" s="5">
        <f>IF(H68=0,"sem description",IF(H68&gt;160,"longa",IF(H68&lt;120,"curta","ok")))</f>
        <v/>
      </c>
      <c r="J69" s="4" t="inlineStr">
        <is>
          <t>Proteção das mãos</t>
        </is>
      </c>
      <c r="K69" s="5" t="n">
        <v>462</v>
      </c>
      <c r="L69" s="3" t="inlineStr"/>
    </row>
    <row r="70">
      <c r="A70" s="2" t="inlineStr">
        <is>
          <t>SEO comercial</t>
        </is>
      </c>
      <c r="B70" s="3" t="inlineStr"/>
      <c r="C70" s="4" t="inlineStr">
        <is>
          <t>https://towerepis.com.br/protecao/olhos-e-face/</t>
        </is>
      </c>
      <c r="D70" s="4" t="inlineStr">
        <is>
          <t>Óculos de proteção e protetor facial · Tower EPI's</t>
        </is>
      </c>
      <c r="E70" s="5" t="n">
        <v>50</v>
      </c>
      <c r="F70" s="5">
        <f>IF(E69=0,"sem title",IF(E69&gt;60,"longo",IF(E69&lt;30,"curto","ok")))</f>
        <v/>
      </c>
      <c r="G70" s="4" t="inlineStr">
        <is>
          <t>Óculos de segurança, protetor facial ou os dois: depende de partícula, respingo ou radiação. O que cada um cobre e quando um não substitui o outro.</t>
        </is>
      </c>
      <c r="H70" s="5" t="n">
        <v>147</v>
      </c>
      <c r="I70" s="5">
        <f>IF(H69=0,"sem description",IF(H69&gt;160,"longa",IF(H69&lt;120,"curta","ok")))</f>
        <v/>
      </c>
      <c r="J70" s="4" t="inlineStr">
        <is>
          <t>Proteção para olhos e face</t>
        </is>
      </c>
      <c r="K70" s="5" t="n">
        <v>404</v>
      </c>
      <c r="L70" s="3" t="inlineStr"/>
    </row>
    <row r="71">
      <c r="A71" s="2" t="inlineStr">
        <is>
          <t>SEO comercial</t>
        </is>
      </c>
      <c r="B71" s="3" t="inlineStr"/>
      <c r="C71" s="4" t="inlineStr">
        <is>
          <t>https://towerepis.com.br/protecao/respiratoria/</t>
        </is>
      </c>
      <c r="D71" s="4" t="inlineStr">
        <is>
          <t>PFF1, PFF2 e PFF3: qual usar para cada risco · Tower EPI's</t>
        </is>
      </c>
      <c r="E71" s="5" t="n">
        <v>58</v>
      </c>
      <c r="F71" s="5">
        <f>IF(E70=0,"sem title",IF(E70&gt;60,"longo",IF(E70&lt;30,"curto","ok")))</f>
        <v/>
      </c>
      <c r="G71" s="4" t="inlineStr">
        <is>
          <t>O que decide não é o número da máscara, é o agente presente. Quando cada classe se aplica, e por que peça para poeira não protege contra vapor.</t>
        </is>
      </c>
      <c r="H71" s="5" t="n">
        <v>143</v>
      </c>
      <c r="I71" s="5">
        <f>IF(H70=0,"sem description",IF(H70&gt;160,"longa",IF(H70&lt;120,"curta","ok")))</f>
        <v/>
      </c>
      <c r="J71" s="4" t="inlineStr">
        <is>
          <t>Proteção respiratória</t>
        </is>
      </c>
      <c r="K71" s="5" t="n">
        <v>507</v>
      </c>
      <c r="L71" s="3" t="inlineStr"/>
    </row>
    <row r="72">
      <c r="A72" s="6" t="inlineStr">
        <is>
          <t>SEO local</t>
        </is>
      </c>
      <c r="B72" s="7" t="inlineStr"/>
      <c r="C72" s="8" t="inlineStr">
        <is>
          <t>https://towerepis.com.br/epi-por-cidade/</t>
        </is>
      </c>
      <c r="D72" s="8" t="inlineStr">
        <is>
          <t>Onde a Tower EPI’s atende: cidades e regiões</t>
        </is>
      </c>
      <c r="E72" s="9" t="n">
        <v>44</v>
      </c>
      <c r="F72" s="9">
        <f>IF(E71=0,"sem title",IF(E71&gt;60,"longo",IF(E71&lt;30,"curto","ok")))</f>
        <v/>
      </c>
      <c r="G72" s="8" t="inlineStr">
        <is>
          <t>Ceará, Piauí e Rio Grande do Norte. Veja o que muda de uma região para outra e como pedir orçamento com quem é técnico de segurança do trabalho.</t>
        </is>
      </c>
      <c r="H72" s="9" t="n">
        <v>144</v>
      </c>
      <c r="I72" s="9">
        <f>IF(H71=0,"sem description",IF(H71&gt;160,"longa",IF(H71&lt;120,"curta","ok")))</f>
        <v/>
      </c>
      <c r="J72" s="8" t="inlineStr">
        <is>
          <t>A Tower atende de Fortaleza ao Vale do Açu</t>
        </is>
      </c>
      <c r="K72" s="9" t="n">
        <v>587</v>
      </c>
      <c r="L72" s="7" t="inlineStr"/>
    </row>
    <row r="73">
      <c r="A73" s="6" t="inlineStr">
        <is>
          <t>SEO local</t>
        </is>
      </c>
      <c r="B73" s="7" t="inlineStr"/>
      <c r="C73" s="8" t="inlineStr">
        <is>
          <t>https://towerepis.com.br/epi-por-cidade/assu-rn/</t>
        </is>
      </c>
      <c r="D73" s="8" t="inlineStr">
        <is>
          <t>EPI em Assú e no Vale do Açu: proteção para o agro</t>
        </is>
      </c>
      <c r="E73" s="9" t="n">
        <v>50</v>
      </c>
      <c r="F73" s="9">
        <f>IF(E72=0,"sem title",IF(E72&gt;60,"longo",IF(E72&lt;30,"curto","ok")))</f>
        <v/>
      </c>
      <c r="G73" s="8" t="inlineStr">
        <is>
          <t>Atendimento a empresas do Vale do Açu. EPI para aplicação de defensivo, colheita e galpão de embalagem, com o CA de cada item e orientação técnica.</t>
        </is>
      </c>
      <c r="H73" s="9" t="n">
        <v>147</v>
      </c>
      <c r="I73" s="9">
        <f>IF(H72=0,"sem description",IF(H72&gt;160,"longa",IF(H72&lt;120,"curta","ok")))</f>
        <v/>
      </c>
      <c r="J73" s="8" t="inlineStr">
        <is>
          <t>EPI em Assú: proteção para a fruticultura do Vale do Açu</t>
        </is>
      </c>
      <c r="K73" s="9" t="n">
        <v>779</v>
      </c>
      <c r="L73" s="7" t="inlineStr"/>
    </row>
    <row r="74">
      <c r="A74" s="6" t="inlineStr">
        <is>
          <t>SEO local</t>
        </is>
      </c>
      <c r="B74" s="7" t="inlineStr"/>
      <c r="C74" s="8" t="inlineStr">
        <is>
          <t>https://towerepis.com.br/epi-por-cidade/barbalha-ce/</t>
        </is>
      </c>
      <c r="D74" s="8" t="inlineStr">
        <is>
          <t>EPI em Barbalha e no Cariri: calçados e proteção</t>
        </is>
      </c>
      <c r="E74" s="9" t="n">
        <v>48</v>
      </c>
      <c r="F74" s="9">
        <f>IF(E73=0,"sem title",IF(E73&gt;60,"longo",IF(E73&lt;30,"curto","ok")))</f>
        <v/>
      </c>
      <c r="G74" s="8" t="inlineStr">
        <is>
          <t>Atendimento a empresas de Barbalha, Crato e Juazeiro do Norte: calçado de segurança, luva para cola e solvente, proteção auditiva, com CA no orçamento.</t>
        </is>
      </c>
      <c r="H74" s="9" t="n">
        <v>151</v>
      </c>
      <c r="I74" s="9">
        <f>IF(H73=0,"sem description",IF(H73&gt;160,"longa",IF(H73&lt;120,"curta","ok")))</f>
        <v/>
      </c>
      <c r="J74" s="8" t="inlineStr">
        <is>
          <t>EPI em Barbalha: proteção para a indústria do Cariri</t>
        </is>
      </c>
      <c r="K74" s="9" t="n">
        <v>836</v>
      </c>
      <c r="L74" s="7" t="inlineStr"/>
    </row>
    <row r="75">
      <c r="A75" s="6" t="inlineStr">
        <is>
          <t>SEO local</t>
        </is>
      </c>
      <c r="B75" s="7" t="inlineStr"/>
      <c r="C75" s="8" t="inlineStr">
        <is>
          <t>https://towerepis.com.br/epi-por-cidade/ceara/</t>
        </is>
      </c>
      <c r="D75" s="8" t="inlineStr">
        <is>
          <t>EPI no Ceará: atendimento da capital ao Cariri</t>
        </is>
      </c>
      <c r="E75" s="9" t="n">
        <v>46</v>
      </c>
      <c r="F75" s="9">
        <f>IF(E74=0,"sem title",IF(E74&gt;60,"longo",IF(E74&lt;30,"curto","ok")))</f>
        <v/>
      </c>
      <c r="G75" s="8" t="inlineStr">
        <is>
          <t>A Tower é de Fortaleza e atende o Ceará desde 1995. Veja o que muda entre a capital e o Cariri, e fale direto com quem é técnico de segurança do trabalho.</t>
        </is>
      </c>
      <c r="H75" s="9" t="n">
        <v>154</v>
      </c>
      <c r="I75" s="9">
        <f>IF(H74=0,"sem description",IF(H74&gt;160,"longa",IF(H74&lt;120,"curta","ok")))</f>
        <v/>
      </c>
      <c r="J75" s="8" t="inlineStr">
        <is>
          <t>EPI no Ceará: de Fortaleza ao Cariri</t>
        </is>
      </c>
      <c r="K75" s="9" t="n">
        <v>285</v>
      </c>
      <c r="L75" s="7" t="inlineStr"/>
    </row>
    <row r="76">
      <c r="A76" s="6" t="inlineStr">
        <is>
          <t>SEO local</t>
        </is>
      </c>
      <c r="B76" s="7" t="inlineStr"/>
      <c r="C76" s="8" t="inlineStr">
        <is>
          <t>https://towerepis.com.br/epi-por-cidade/natal-rn/</t>
        </is>
      </c>
      <c r="D76" s="8" t="inlineStr">
        <is>
          <t>EPI em Natal: calçados e proteção para empresas</t>
        </is>
      </c>
      <c r="E76" s="9" t="n">
        <v>47</v>
      </c>
      <c r="F76" s="9">
        <f>IF(E75=0,"sem title",IF(E75&gt;60,"longo",IF(E75&lt;30,"curto","ok")))</f>
        <v/>
      </c>
      <c r="G76" s="8" t="inlineStr">
        <is>
          <t>Atendimento a empresas de Natal: têxtil, hotelaria e construção. Calçado de segurança, proteção auditiva e respiratória, com o CA de cada item no orçamento.</t>
        </is>
      </c>
      <c r="H76" s="9" t="n">
        <v>156</v>
      </c>
      <c r="I76" s="9">
        <f>IF(H75=0,"sem description",IF(H75&gt;160,"longa",IF(H75&lt;120,"curta","ok")))</f>
        <v/>
      </c>
      <c r="J76" s="8" t="inlineStr">
        <is>
          <t>EPI em Natal: têxtil, hotelaria e construção</t>
        </is>
      </c>
      <c r="K76" s="9" t="n">
        <v>858</v>
      </c>
      <c r="L76" s="7" t="inlineStr"/>
    </row>
    <row r="77">
      <c r="A77" s="6" t="inlineStr">
        <is>
          <t>SEO local</t>
        </is>
      </c>
      <c r="B77" s="7" t="inlineStr"/>
      <c r="C77" s="8" t="inlineStr">
        <is>
          <t>https://towerepis.com.br/epi-por-cidade/parnaiba-pi/</t>
        </is>
      </c>
      <c r="D77" s="8" t="inlineStr">
        <is>
          <t>EPI em Parnaíba: calçado de cozinha e proteção</t>
        </is>
      </c>
      <c r="E77" s="9" t="n">
        <v>46</v>
      </c>
      <c r="F77" s="9">
        <f>IF(E76=0,"sem title",IF(E76&gt;60,"longo",IF(E76&lt;30,"curto","ok")))</f>
        <v/>
      </c>
      <c r="G77" s="8" t="inlineStr">
        <is>
          <t>Atendimento a empresas de Parnaíba e do litoral piauiense. Calçado antiderrapante para cozinha, luvas e proteção, com orientação técnica antes do orçamento.</t>
        </is>
      </c>
      <c r="H77" s="9" t="n">
        <v>156</v>
      </c>
      <c r="I77" s="9">
        <f>IF(H76=0,"sem description",IF(H76&gt;160,"longa",IF(H76&lt;120,"curta","ok")))</f>
        <v/>
      </c>
      <c r="J77" s="8" t="inlineStr">
        <is>
          <t>EPI em Parnaíba: proteção para hotelaria, cozinha e serviços</t>
        </is>
      </c>
      <c r="K77" s="9" t="n">
        <v>769</v>
      </c>
      <c r="L77" s="7" t="inlineStr"/>
    </row>
    <row r="78">
      <c r="A78" s="6" t="inlineStr">
        <is>
          <t>SEO local</t>
        </is>
      </c>
      <c r="B78" s="7" t="inlineStr"/>
      <c r="C78" s="8" t="inlineStr">
        <is>
          <t>https://towerepis.com.br/epi-por-cidade/piaui/</t>
        </is>
      </c>
      <c r="D78" s="8" t="inlineStr">
        <is>
          <t>EPI no Piauí: Teresina e Parnaíba</t>
        </is>
      </c>
      <c r="E78" s="9" t="n">
        <v>33</v>
      </c>
      <c r="F78" s="9">
        <f>IF(E77=0,"sem title",IF(E77&gt;60,"longo",IF(E77&lt;30,"curto","ok")))</f>
        <v/>
      </c>
      <c r="G78" s="8" t="inlineStr">
        <is>
          <t>Atendimento a empresas de Teresina e Parnaíba: calçado de segurança e ocupacional, luvas e proteção, com orientação de quem é técnico de segurança.</t>
        </is>
      </c>
      <c r="H78" s="9" t="n">
        <v>147</v>
      </c>
      <c r="I78" s="9">
        <f>IF(H77=0,"sem description",IF(H77&gt;160,"longa",IF(H77&lt;120,"curta","ok")))</f>
        <v/>
      </c>
      <c r="J78" s="8" t="inlineStr">
        <is>
          <t>EPI no Piauí: Teresina e Parnaíba</t>
        </is>
      </c>
      <c r="K78" s="9" t="n">
        <v>300</v>
      </c>
      <c r="L78" s="7" t="inlineStr"/>
    </row>
    <row r="79">
      <c r="A79" s="6" t="inlineStr">
        <is>
          <t>SEO local</t>
        </is>
      </c>
      <c r="B79" s="7" t="inlineStr"/>
      <c r="C79" s="8" t="inlineStr">
        <is>
          <t>https://towerepis.com.br/epi-por-cidade/rio-grande-do-norte/</t>
        </is>
      </c>
      <c r="D79" s="8" t="inlineStr">
        <is>
          <t>EPI no Rio Grande do Norte: Natal e Assú</t>
        </is>
      </c>
      <c r="E79" s="9" t="n">
        <v>40</v>
      </c>
      <c r="F79" s="9">
        <f>IF(E78=0,"sem title",IF(E78&gt;60,"longo",IF(E78&lt;30,"curto","ok")))</f>
        <v/>
      </c>
      <c r="G79" s="8" t="inlineStr">
        <is>
          <t>Atendimento a empresas de Natal e do Vale do Açu. Calçado de segurança e ocupacional, luvas, proteção respiratória — com orientação técnica antes do orçamento.</t>
        </is>
      </c>
      <c r="H79" s="9" t="n">
        <v>159</v>
      </c>
      <c r="I79" s="9">
        <f>IF(H78=0,"sem description",IF(H78&gt;160,"longa",IF(H78&lt;120,"curta","ok")))</f>
        <v/>
      </c>
      <c r="J79" s="8" t="inlineStr">
        <is>
          <t>EPI no Rio Grande do Norte: Natal e Assú</t>
        </is>
      </c>
      <c r="K79" s="9" t="n">
        <v>286</v>
      </c>
      <c r="L79" s="7" t="inlineStr"/>
    </row>
    <row r="80">
      <c r="A80" s="6" t="inlineStr">
        <is>
          <t>SEO local</t>
        </is>
      </c>
      <c r="B80" s="7" t="inlineStr"/>
      <c r="C80" s="8" t="inlineStr">
        <is>
          <t>https://towerepis.com.br/epi-por-cidade/teresina-pi/</t>
        </is>
      </c>
      <c r="D80" s="8" t="inlineStr">
        <is>
          <t>EPI em Teresina: calçados e proteção para empresas</t>
        </is>
      </c>
      <c r="E80" s="9" t="n">
        <v>50</v>
      </c>
      <c r="F80" s="9">
        <f>IF(E79=0,"sem title",IF(E79&gt;60,"longo",IF(E79&lt;30,"curto","ok")))</f>
        <v/>
      </c>
      <c r="G80" s="8" t="inlineStr">
        <is>
          <t>Atendimento a empresas de Teresina: calçado ocupacional antiderrapante, luvas e proteção, com o CA de cada item e orientação técnica no orçamento.</t>
        </is>
      </c>
      <c r="H80" s="9" t="n">
        <v>146</v>
      </c>
      <c r="I80" s="9">
        <f>IF(H79=0,"sem description",IF(H79&gt;160,"longa",IF(H79&lt;120,"curta","ok")))</f>
        <v/>
      </c>
      <c r="J80" s="8" t="inlineStr">
        <is>
          <t>EPI em Teresina: proteção para a rede de serviços e saúde</t>
        </is>
      </c>
      <c r="K80" s="9" t="n">
        <v>849</v>
      </c>
      <c r="L80" s="7" t="inlineStr"/>
    </row>
    <row r="81">
      <c r="A81" s="2" t="inlineStr">
        <is>
          <t>Conversão</t>
        </is>
      </c>
      <c r="B81" s="3" t="inlineStr"/>
      <c r="C81" s="4" t="inlineStr">
        <is>
          <t>https://towerepis.com.br/contato/</t>
        </is>
      </c>
      <c r="D81" s="4" t="inlineStr">
        <is>
          <t>Fale com a Tower EPI’s — Fortaleza</t>
        </is>
      </c>
      <c r="E81" s="5" t="n">
        <v>34</v>
      </c>
      <c r="F81" s="5">
        <f>IF(E80=0,"sem title",IF(E80&gt;60,"longo",IF(E80&lt;30,"curto","ok")))</f>
        <v/>
      </c>
      <c r="G81" s="4" t="inlineStr">
        <is>
          <t>WhatsApp direto com Helano e Cristina, os dois sócios. Atendimento em Fortaleza, região metropolitana e Ceará, com prazo combinado antes de fechar.</t>
        </is>
      </c>
      <c r="H81" s="5" t="n">
        <v>147</v>
      </c>
      <c r="I81" s="5">
        <f>IF(H80=0,"sem description",IF(H80&gt;160,"longa",IF(H80&lt;120,"curta","ok")))</f>
        <v/>
      </c>
      <c r="J81" s="4" t="inlineStr">
        <is>
          <t>Fale com a Tower</t>
        </is>
      </c>
      <c r="K81" s="5" t="n">
        <v>210</v>
      </c>
      <c r="L81" s="3" t="inlineStr"/>
    </row>
    <row r="82">
      <c r="A82" s="2" t="inlineStr">
        <is>
          <t>Conversão</t>
        </is>
      </c>
      <c r="B82" s="3" t="inlineStr"/>
      <c r="C82" s="4" t="inlineStr">
        <is>
          <t>https://towerepis.com.br/encontrar-epi/</t>
        </is>
      </c>
      <c r="D82" s="4" t="inlineStr">
        <is>
          <t>Encontre o EPI certo para o seu trabalho · Tower EPI's</t>
        </is>
      </c>
      <c r="E82" s="5" t="n">
        <v>54</v>
      </c>
      <c r="F82" s="5">
        <f>IF(E81=0,"sem title",IF(E81&gt;60,"longo",IF(E81&lt;30,"curto","ok")))</f>
        <v/>
      </c>
      <c r="G82" s="4" t="inlineStr">
        <is>
          <t>Quatro perguntas sobre a sua rotina, e no fim o que costuma merecer atenção no seu caso. Orientação inicial, não laudo, e o contexto já pronto para o WhatsApp.</t>
        </is>
      </c>
      <c r="H82" s="5" t="n">
        <v>159</v>
      </c>
      <c r="I82" s="5">
        <f>IF(H81=0,"sem description",IF(H81&gt;160,"longa",IF(H81&lt;120,"curta","ok")))</f>
        <v/>
      </c>
      <c r="J82" s="4" t="inlineStr">
        <is>
          <t>Encontre o EPI certo para o seu trabalho</t>
        </is>
      </c>
      <c r="K82" s="5" t="n">
        <v>223</v>
      </c>
      <c r="L82" s="3" t="inlineStr"/>
    </row>
    <row r="83">
      <c r="A83" s="2" t="inlineStr">
        <is>
          <t>Conversão</t>
        </is>
      </c>
      <c r="B83" s="3" t="inlineStr"/>
      <c r="C83" s="4" t="inlineStr">
        <is>
          <t>https://towerepis.com.br/orcamento/</t>
        </is>
      </c>
      <c r="D83" s="4" t="inlineStr">
        <is>
          <t>Orçamento de EPI em Fortaleza, sem cadastro</t>
        </is>
      </c>
      <c r="E83" s="5" t="n">
        <v>43</v>
      </c>
      <c r="F83" s="5">
        <f>IF(E82=0,"sem title",IF(E82&gt;60,"longo",IF(E82&lt;30,"curto","ok")))</f>
        <v/>
      </c>
      <c r="G83" s="4" t="inlineStr">
        <is>
          <t>Escolha os itens, informe a grade de numeração e envie pronto pelo WhatsApp. Não pedimos e-mail nem CNPJ. Quem responde é um dos dois donos, desde 1995.</t>
        </is>
      </c>
      <c r="H83" s="5" t="n">
        <v>152</v>
      </c>
      <c r="I83" s="5">
        <f>IF(H82=0,"sem description",IF(H82&gt;160,"longa",IF(H82&lt;120,"curta","ok")))</f>
        <v/>
      </c>
      <c r="J83" s="4" t="inlineStr">
        <is>
          <t>Peça seu orçamento</t>
        </is>
      </c>
      <c r="K83" s="5" t="n">
        <v>470</v>
      </c>
      <c r="L83" s="3" t="inlineStr"/>
    </row>
    <row r="84">
      <c r="A84" s="6" t="inlineStr">
        <is>
          <t>Institucional</t>
        </is>
      </c>
      <c r="B84" s="7" t="inlineStr"/>
      <c r="C84" s="8" t="inlineStr">
        <is>
          <t>https://towerepis.com.br/</t>
        </is>
      </c>
      <c r="D84" s="8" t="inlineStr">
        <is>
          <t>EPI em Fortaleza — Tower EPI's, desde 1995</t>
        </is>
      </c>
      <c r="E84" s="9" t="n">
        <v>42</v>
      </c>
      <c r="F84" s="9">
        <f>IF(E83=0,"sem title",IF(E83&gt;60,"longo",IF(E83&lt;30,"curto","ok")))</f>
        <v/>
      </c>
      <c r="G84" s="8" t="inlineStr">
        <is>
          <t>Calçados ocupacionais e de segurança, proteção respiratória, luvas e mais, em Fortaleza. Com orientação de quem é técnico de segurança do trabalho.</t>
        </is>
      </c>
      <c r="H84" s="9" t="n">
        <v>147</v>
      </c>
      <c r="I84" s="9">
        <f>IF(H83=0,"sem description",IF(H83&gt;160,"longa",IF(H83&lt;120,"curta","ok")))</f>
        <v/>
      </c>
      <c r="J84" s="8" t="inlineStr">
        <is>
          <t>O melhor EPI é o que a pessoa usa o dia inteiro.</t>
        </is>
      </c>
      <c r="K84" s="9" t="n">
        <v>953</v>
      </c>
      <c r="L84" s="7" t="inlineStr"/>
    </row>
    <row r="85">
      <c r="A85" s="6" t="inlineStr">
        <is>
          <t>Institucional / legal</t>
        </is>
      </c>
      <c r="B85" s="7" t="inlineStr"/>
      <c r="C85" s="8" t="inlineStr">
        <is>
          <t>https://towerepis.com.br/a-tower/</t>
        </is>
      </c>
      <c r="D85" s="8" t="inlineStr">
        <is>
          <t>Nossa história: trinta anos no Ceará · Tower EPI's</t>
        </is>
      </c>
      <c r="E85" s="9" t="n">
        <v>50</v>
      </c>
      <c r="F85" s="9">
        <f>IF(E84=0,"sem title",IF(E84&gt;60,"longo",IF(E84&lt;30,"curto","ok")))</f>
        <v/>
      </c>
      <c r="G85" s="8" t="inlineStr">
        <is>
          <t>Em 1995 a 3M procurava alguém para desenvolver o mercado de proteção no Ceará. Convidou o Helano. Esta é a história da Tower EPI’s, contada por quem viveu.</t>
        </is>
      </c>
      <c r="H85" s="9" t="n">
        <v>155</v>
      </c>
      <c r="I85" s="9">
        <f>IF(H84=0,"sem description",IF(H84&gt;160,"longa",IF(H84&lt;120,"curta","ok")))</f>
        <v/>
      </c>
      <c r="J85" s="8" t="inlineStr">
        <is>
          <t>Em 1995, a 3M procurava alguém para desenvolver o mercado de proteção no Ceará.</t>
        </is>
      </c>
      <c r="K85" s="9" t="n">
        <v>1094</v>
      </c>
      <c r="L85" s="7" t="inlineStr"/>
    </row>
    <row r="86">
      <c r="A86" s="6" t="inlineStr">
        <is>
          <t>Institucional / legal</t>
        </is>
      </c>
      <c r="B86" s="7" t="inlineStr"/>
      <c r="C86" s="8" t="inlineStr">
        <is>
          <t>https://towerepis.com.br/a-tower/helano/</t>
        </is>
      </c>
      <c r="D86" s="8" t="inlineStr">
        <is>
          <t>Helano — Técnico de Segurança do Trabalho · Tower EPI's</t>
        </is>
      </c>
      <c r="E86" s="9" t="n">
        <v>55</v>
      </c>
      <c r="F86" s="9">
        <f>IF(E85=0,"sem title",IF(E85&gt;60,"longo",IF(E85&lt;30,"curto","ok")))</f>
        <v/>
      </c>
      <c r="G86" s="8" t="inlineStr">
        <is>
          <t>Sócio-proprietário e técnico de segurança do trabalho. Revisa todo o conteúdo técnico do site. Antes de 1995, treinava equipes dentro das empresas em São Paulo.</t>
        </is>
      </c>
      <c r="H86" s="9" t="n">
        <v>160</v>
      </c>
      <c r="I86" s="9">
        <f>IF(H85=0,"sem description",IF(H85&gt;160,"longa",IF(H85&lt;120,"curta","ok")))</f>
        <v/>
      </c>
      <c r="J86" s="8" t="inlineStr">
        <is>
          <t>Helano</t>
        </is>
      </c>
      <c r="K86" s="9" t="n">
        <v>633</v>
      </c>
      <c r="L86" s="7" t="inlineStr"/>
    </row>
    <row r="87">
      <c r="A87" s="6" t="inlineStr">
        <is>
          <t>Institucional / legal</t>
        </is>
      </c>
      <c r="B87" s="7" t="inlineStr"/>
      <c r="C87" s="8" t="inlineStr">
        <is>
          <t>https://towerepis.com.br/politica-de-cookies/</t>
        </is>
      </c>
      <c r="D87" s="8" t="inlineStr">
        <is>
          <t>Política de cookies · Tower EPI's</t>
        </is>
      </c>
      <c r="E87" s="9" t="n">
        <v>33</v>
      </c>
      <c r="F87" s="9">
        <f>IF(E86=0,"sem title",IF(E86&gt;60,"longo",IF(E86&lt;30,"curto","ok")))</f>
        <v/>
      </c>
      <c r="G87" s="8" t="inlineStr">
        <is>
          <t>Este site só usa cookie de análise, e só depois de você aceitar. Veja a tabela completa, o que foi medido antes e depois do aceite, e mude a sua escolha aqui.</t>
        </is>
      </c>
      <c r="H87" s="9" t="n">
        <v>158</v>
      </c>
      <c r="I87" s="9">
        <f>IF(H86=0,"sem description",IF(H86&gt;160,"longa",IF(H86&lt;120,"curta","ok")))</f>
        <v/>
      </c>
      <c r="J87" s="8" t="inlineStr">
        <is>
          <t>Política de cookies</t>
        </is>
      </c>
      <c r="K87" s="9" t="n">
        <v>718</v>
      </c>
      <c r="L87" s="7" t="inlineStr"/>
    </row>
    <row r="88">
      <c r="A88" s="6" t="inlineStr">
        <is>
          <t>Institucional / legal</t>
        </is>
      </c>
      <c r="B88" s="7" t="inlineStr"/>
      <c r="C88" s="8" t="inlineStr">
        <is>
          <t>https://towerepis.com.br/politica-de-privacidade/</t>
        </is>
      </c>
      <c r="D88" s="8" t="inlineStr">
        <is>
          <t>Política de privacidade · Tower EPI's</t>
        </is>
      </c>
      <c r="E88" s="9" t="n">
        <v>37</v>
      </c>
      <c r="F88" s="9">
        <f>IF(E87=0,"sem title",IF(E87&gt;60,"longo",IF(E87&lt;30,"curto","ok")))</f>
        <v/>
      </c>
      <c r="G88" s="8" t="inlineStr">
        <is>
          <t>O site só grava cookie de análise depois que você aceita, não tem cadastro e não guarda o que você escreve no formulário. Veja o que é tratado, por quê, e como exercer seus direitos.</t>
        </is>
      </c>
      <c r="H88" s="9" t="n">
        <v>182</v>
      </c>
      <c r="I88" s="9">
        <f>IF(H87=0,"sem description",IF(H87&gt;160,"longa",IF(H87&lt;120,"curta","ok")))</f>
        <v/>
      </c>
      <c r="J88" s="8" t="inlineStr">
        <is>
          <t>Política de privacidade</t>
        </is>
      </c>
      <c r="K88" s="9" t="n">
        <v>1664</v>
      </c>
      <c r="L88" s="7" t="inlineStr"/>
    </row>
    <row r="89">
      <c r="A89" s="6" t="inlineStr">
        <is>
          <t>Institucional / legal</t>
        </is>
      </c>
      <c r="B89" s="7" t="inlineStr"/>
      <c r="C89" s="8" t="inlineStr">
        <is>
          <t>https://towerepis.com.br/termos-de-uso/</t>
        </is>
      </c>
      <c r="D89" s="8" t="inlineStr">
        <is>
          <t>Termos de uso · Tower EPI's</t>
        </is>
      </c>
      <c r="E89" s="9" t="n">
        <v>27</v>
      </c>
      <c r="F89" s="9">
        <f>IF(E88=0,"sem title",IF(E88&gt;60,"longo",IF(E88&lt;30,"curto","ok")))</f>
        <v/>
      </c>
      <c r="G89" s="8" t="inlineStr">
        <is>
          <t>As regras de uso do site da Tower EPI’s: finalidade informativa do conteúdo, orçamento sem compromisso, propriedade do material e limites de responsabilidade.</t>
        </is>
      </c>
      <c r="H89" s="9" t="n">
        <v>158</v>
      </c>
      <c r="I89" s="9">
        <f>IF(H88=0,"sem description",IF(H88&gt;160,"longa",IF(H88&lt;120,"curta","ok")))</f>
        <v/>
      </c>
      <c r="J89" s="8" t="inlineStr">
        <is>
          <t>Termos de uso</t>
        </is>
      </c>
      <c r="K89" s="9" t="n">
        <v>781</v>
      </c>
      <c r="L89" s="7" t="inlineStr"/>
    </row>
  </sheetData>
  <autoFilter ref="A2:L89"/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0" t="inlineStr">
        <is>
          <t>Tower EPI's — inventário de title e description</t>
        </is>
      </c>
    </row>
    <row r="2" ht="30" customHeight="1">
      <c r="A2" s="11" t="inlineStr">
        <is>
          <t>Medido no build de 22/09/2026, em navegador real. Os valores da aba Inventário são os RENDERIZADOS, com o sufixo do site já somado.</t>
        </is>
      </c>
    </row>
    <row r="4">
      <c r="A4" s="12" t="inlineStr">
        <is>
          <t>Grupo</t>
        </is>
      </c>
      <c r="B4" s="12" t="inlineStr">
        <is>
          <t>Páginas</t>
        </is>
      </c>
      <c r="C4" s="12" t="inlineStr">
        <is>
          <t>Title ok</t>
        </is>
      </c>
      <c r="D4" s="12" t="inlineStr">
        <is>
          <t>Title longo</t>
        </is>
      </c>
      <c r="E4" s="12" t="inlineStr">
        <is>
          <t>Desc. ok</t>
        </is>
      </c>
      <c r="F4" s="12" t="inlineStr">
        <is>
          <t>Desc. fora</t>
        </is>
      </c>
    </row>
    <row r="5">
      <c r="A5" s="13" t="inlineStr">
        <is>
          <t>Conteúdo — artigo</t>
        </is>
      </c>
      <c r="B5" s="14">
        <f>COUNTIF(Inventário!$A$2:$A$88,$A5)</f>
        <v/>
      </c>
      <c r="C5" s="14">
        <f>COUNTIFS(Inventário!$A$2:$A$88,$A5,Inventário!$F$2:$F$88,"ok")</f>
        <v/>
      </c>
      <c r="D5" s="14">
        <f>COUNTIFS(Inventário!$A$2:$A$88,$A5,Inventário!$F$2:$F$88,"longo")</f>
        <v/>
      </c>
      <c r="E5" s="14">
        <f>COUNTIFS(Inventário!$A$2:$A$88,$A5,Inventário!$I$2:$I$88,"ok")</f>
        <v/>
      </c>
      <c r="F5" s="14">
        <f>COUNTIF(Inventário!$A$2:$A$88,$A5)-E5</f>
        <v/>
      </c>
    </row>
    <row r="6">
      <c r="A6" s="13" t="inlineStr">
        <is>
          <t>Conteúdo — hub</t>
        </is>
      </c>
      <c r="B6" s="14">
        <f>COUNTIF(Inventário!$A$2:$A$88,$A6)</f>
        <v/>
      </c>
      <c r="C6" s="14">
        <f>COUNTIFS(Inventário!$A$2:$A$88,$A6,Inventário!$F$2:$F$88,"ok")</f>
        <v/>
      </c>
      <c r="D6" s="14">
        <f>COUNTIFS(Inventário!$A$2:$A$88,$A6,Inventário!$F$2:$F$88,"longo")</f>
        <v/>
      </c>
      <c r="E6" s="14">
        <f>COUNTIFS(Inventário!$A$2:$A$88,$A6,Inventário!$I$2:$I$88,"ok")</f>
        <v/>
      </c>
      <c r="F6" s="14">
        <f>COUNTIF(Inventário!$A$2:$A$88,$A6)-E6</f>
        <v/>
      </c>
    </row>
    <row r="7">
      <c r="A7" s="13" t="inlineStr">
        <is>
          <t>SEO comercial</t>
        </is>
      </c>
      <c r="B7" s="14">
        <f>COUNTIF(Inventário!$A$2:$A$88,$A7)</f>
        <v/>
      </c>
      <c r="C7" s="14">
        <f>COUNTIFS(Inventário!$A$2:$A$88,$A7,Inventário!$F$2:$F$88,"ok")</f>
        <v/>
      </c>
      <c r="D7" s="14">
        <f>COUNTIFS(Inventário!$A$2:$A$88,$A7,Inventário!$F$2:$F$88,"longo")</f>
        <v/>
      </c>
      <c r="E7" s="14">
        <f>COUNTIFS(Inventário!$A$2:$A$88,$A7,Inventário!$I$2:$I$88,"ok")</f>
        <v/>
      </c>
      <c r="F7" s="14">
        <f>COUNTIF(Inventário!$A$2:$A$88,$A7)-E7</f>
        <v/>
      </c>
    </row>
    <row r="8">
      <c r="A8" s="13" t="inlineStr">
        <is>
          <t>SEO local</t>
        </is>
      </c>
      <c r="B8" s="14">
        <f>COUNTIF(Inventário!$A$2:$A$88,$A8)</f>
        <v/>
      </c>
      <c r="C8" s="14">
        <f>COUNTIFS(Inventário!$A$2:$A$88,$A8,Inventário!$F$2:$F$88,"ok")</f>
        <v/>
      </c>
      <c r="D8" s="14">
        <f>COUNTIFS(Inventário!$A$2:$A$88,$A8,Inventário!$F$2:$F$88,"longo")</f>
        <v/>
      </c>
      <c r="E8" s="14">
        <f>COUNTIFS(Inventário!$A$2:$A$88,$A8,Inventário!$I$2:$I$88,"ok")</f>
        <v/>
      </c>
      <c r="F8" s="14">
        <f>COUNTIF(Inventário!$A$2:$A$88,$A8)-E8</f>
        <v/>
      </c>
    </row>
    <row r="9">
      <c r="A9" s="13" t="inlineStr">
        <is>
          <t>Conversão</t>
        </is>
      </c>
      <c r="B9" s="14">
        <f>COUNTIF(Inventário!$A$2:$A$88,$A9)</f>
        <v/>
      </c>
      <c r="C9" s="14">
        <f>COUNTIFS(Inventário!$A$2:$A$88,$A9,Inventário!$F$2:$F$88,"ok")</f>
        <v/>
      </c>
      <c r="D9" s="14">
        <f>COUNTIFS(Inventário!$A$2:$A$88,$A9,Inventário!$F$2:$F$88,"longo")</f>
        <v/>
      </c>
      <c r="E9" s="14">
        <f>COUNTIFS(Inventário!$A$2:$A$88,$A9,Inventário!$I$2:$I$88,"ok")</f>
        <v/>
      </c>
      <c r="F9" s="14">
        <f>COUNTIF(Inventário!$A$2:$A$88,$A9)-E9</f>
        <v/>
      </c>
    </row>
    <row r="10">
      <c r="A10" s="13" t="inlineStr">
        <is>
          <t>Institucional</t>
        </is>
      </c>
      <c r="B10" s="14">
        <f>COUNTIF(Inventário!$A$2:$A$88,$A10)</f>
        <v/>
      </c>
      <c r="C10" s="14">
        <f>COUNTIFS(Inventário!$A$2:$A$88,$A10,Inventário!$F$2:$F$88,"ok")</f>
        <v/>
      </c>
      <c r="D10" s="14">
        <f>COUNTIFS(Inventário!$A$2:$A$88,$A10,Inventário!$F$2:$F$88,"longo")</f>
        <v/>
      </c>
      <c r="E10" s="14">
        <f>COUNTIFS(Inventário!$A$2:$A$88,$A10,Inventário!$I$2:$I$88,"ok")</f>
        <v/>
      </c>
      <c r="F10" s="14">
        <f>COUNTIF(Inventário!$A$2:$A$88,$A10)-E10</f>
        <v/>
      </c>
    </row>
    <row r="11">
      <c r="A11" s="13" t="inlineStr">
        <is>
          <t>Institucional / legal</t>
        </is>
      </c>
      <c r="B11" s="14">
        <f>COUNTIF(Inventário!$A$2:$A$88,$A11)</f>
        <v/>
      </c>
      <c r="C11" s="14">
        <f>COUNTIFS(Inventário!$A$2:$A$88,$A11,Inventário!$F$2:$F$88,"ok")</f>
        <v/>
      </c>
      <c r="D11" s="14">
        <f>COUNTIFS(Inventário!$A$2:$A$88,$A11,Inventário!$F$2:$F$88,"longo")</f>
        <v/>
      </c>
      <c r="E11" s="14">
        <f>COUNTIFS(Inventário!$A$2:$A$88,$A11,Inventário!$I$2:$I$88,"ok")</f>
        <v/>
      </c>
      <c r="F11" s="14">
        <f>COUNTIF(Inventário!$A$2:$A$88,$A11)-E11</f>
        <v/>
      </c>
    </row>
    <row r="12">
      <c r="A12" s="13" t="inlineStr">
        <is>
          <t>TOTAL</t>
        </is>
      </c>
      <c r="B12" s="13">
        <f>SUM(B5:B11)</f>
        <v/>
      </c>
      <c r="C12" s="13">
        <f>SUM(C5:C11)</f>
        <v/>
      </c>
      <c r="D12" s="13">
        <f>SUM(D5:D11)</f>
        <v/>
      </c>
      <c r="E12" s="13">
        <f>SUM(E5:E11)</f>
        <v/>
      </c>
      <c r="F12" s="13">
        <f>SUM(F5:F11)</f>
        <v/>
      </c>
    </row>
    <row r="14">
      <c r="A14" s="13" t="inlineStr">
        <is>
          <t>Como ler</t>
        </is>
      </c>
    </row>
    <row r="15" ht="30" customHeight="1">
      <c r="A15" s="13" t="inlineStr">
        <is>
          <t>Title renderizado</t>
        </is>
      </c>
      <c r="B15" s="15" t="inlineStr">
        <is>
          <t>O site usa o template "%s · Tower EPI's". O sufixo soma 14 caracteres, e a coluna Nº já os conta — é o que o buscador corta.</t>
        </is>
      </c>
    </row>
    <row r="16" ht="30" customHeight="1">
      <c r="A16" s="13" t="inlineStr">
        <is>
          <t>Faixa de title</t>
        </is>
      </c>
      <c r="B16" s="15" t="inlineStr">
        <is>
          <t>Até 60 caracteres. Acima disso o resultado de busca costuma truncar.</t>
        </is>
      </c>
    </row>
    <row r="17" ht="30" customHeight="1">
      <c r="A17" s="13" t="inlineStr">
        <is>
          <t>Faixa de description</t>
        </is>
      </c>
      <c r="B17" s="15" t="inlineStr">
        <is>
          <t>Entre 120 e 160 caracteres. Fora dessa faixa não é erro, é sinal de revisão.</t>
        </is>
      </c>
    </row>
    <row r="18" ht="30" customHeight="1">
      <c r="A18" s="13" t="inlineStr">
        <is>
          <t>Congelamento</t>
        </is>
      </c>
      <c r="B18" s="15" t="inlineStr">
        <is>
          <t>Title, description e H1 estão congelados até 1º de novembro de 2026, por decisão registrada em docs/10-regra-de-avaliacao.md. Esta planilha é para medir, não para reescrever agora.</t>
        </is>
      </c>
    </row>
    <row r="19" ht="30" customHeight="1">
      <c r="A19" s="13" t="inlineStr">
        <is>
          <t>Duas exceções conhecidas</t>
        </is>
      </c>
      <c r="B19" s="15" t="inlineStr">
        <is>
          <t>Dois títulos publicados antes da guarda de build estouram por 1 e 2 caracteres e são tolerados até a mesma data.</t>
        </is>
      </c>
    </row>
    <row r="20" ht="30" customHeight="1">
      <c r="A20" s="13" t="inlineStr">
        <is>
          <t>Fonte</t>
        </is>
      </c>
      <c r="B20" s="15" t="inlineStr">
        <is>
          <t>Rastreamento em navegador real do build de produção. Nada aqui foi digitado à mão.</t>
        </is>
      </c>
    </row>
    <row r="21" ht="30" customHeight="1">
      <c r="A21" s="13" t="inlineStr">
        <is>
          <t>Fórmulas</t>
        </is>
      </c>
      <c r="B21" s="15" t="inlineStr">
        <is>
          <t>O resumo acima é contagem por fórmula e aparece ao abrir o arquivo no Excel ou no Google Sheets. Os números foram conferidos por fora, um a um, antes da entrega.</t>
        </is>
      </c>
    </row>
  </sheetData>
  <mergeCells count="8">
    <mergeCell ref="B21:F21"/>
    <mergeCell ref="A2:F2"/>
    <mergeCell ref="B16:F16"/>
    <mergeCell ref="B20:F20"/>
    <mergeCell ref="B15:F15"/>
    <mergeCell ref="B19:F19"/>
    <mergeCell ref="B17:F17"/>
    <mergeCell ref="B18:F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2026-09-22T17:23:05Z</dcterms:created>
  <dcterms:modified xsi:type="dcterms:W3CDTF">2026-09-22T17:47:58Z</dcterms:modified>
</cp:coreProperties>
</file>